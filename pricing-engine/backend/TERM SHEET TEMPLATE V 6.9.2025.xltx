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showInkAnnotation="0"/>
  <mc:AlternateContent xmlns:mc="http://schemas.openxmlformats.org/markup-compatibility/2006">
    <mc:Choice Requires="x15">
      <x15ac:absPath xmlns:x15ac="http://schemas.microsoft.com/office/spreadsheetml/2010/11/ac" url="https://ternuslending-my.sharepoint.com/personal/lsomoza_ternus_com/Documents/Documents/Templates/"/>
    </mc:Choice>
  </mc:AlternateContent>
  <xr:revisionPtr revIDLastSave="0" documentId="8_{063C2A37-F620-4A6F-9AF4-79A6B9C614AA}" xr6:coauthVersionLast="47" xr6:coauthVersionMax="47" xr10:uidLastSave="{00000000-0000-0000-0000-000000000000}"/>
  <workbookProtection workbookAlgorithmName="SHA-512" workbookHashValue="3V1AkiwHmUvuyLlWoHbBlEd6DQCKR83euZkwBQBKN4gfOIHnl8ddyER8yDDJSM3Ev9lE/RoZ5KvsIyOC4EgxTw==" workbookSaltValue="wG2pJUr2WHP79MIZsElXIw==" workbookSpinCount="100000" lockStructure="1"/>
  <bookViews>
    <workbookView xWindow="-120" yWindow="-120" windowWidth="29040" windowHeight="15720" activeTab="4" xr2:uid="{7EF4E8A1-5E5C-45C8-8681-448D4BE84D91}"/>
  </bookViews>
  <sheets>
    <sheet name="Data Entry - PP.Rehab.ARV" sheetId="4" r:id="rId1"/>
    <sheet name="FnF" sheetId="3" r:id="rId2"/>
    <sheet name="WholeTail" sheetId="1" r:id="rId3"/>
    <sheet name="Bridge - Purchase" sheetId="8" r:id="rId4"/>
    <sheet name="Bridge - Refi &amp; DP" sheetId="9" r:id="rId5"/>
    <sheet name="Data Drop downs" sheetId="2" state="hidden" r:id="rId6"/>
  </sheets>
  <definedNames>
    <definedName name="_xlnm.Print_Area" localSheetId="3">'Bridge - Purchase'!$B$1:$E$41</definedName>
    <definedName name="_xlnm.Print_Area" localSheetId="4">'Bridge - Refi &amp; DP'!$B$1:$E$42</definedName>
    <definedName name="_xlnm.Print_Area" localSheetId="1">FnF!$B$1:$E$44</definedName>
    <definedName name="_xlnm.Print_Area" localSheetId="2">WholeTail!$B$1:$E$43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3" l="1"/>
  <c r="C13" i="9"/>
  <c r="D30" i="9"/>
  <c r="E30" i="9"/>
  <c r="D14" i="9"/>
  <c r="C14" i="9"/>
  <c r="C30" i="9"/>
  <c r="D13" i="9"/>
  <c r="E8" i="9"/>
  <c r="D13" i="8"/>
  <c r="D16" i="8" s="1"/>
  <c r="E8" i="8"/>
  <c r="D13" i="1"/>
  <c r="F6" i="4"/>
  <c r="F7" i="4" s="1"/>
  <c r="D14" i="1" s="1"/>
  <c r="D22" i="1"/>
  <c r="D23" i="1"/>
  <c r="E8" i="3"/>
  <c r="D16" i="9" l="1"/>
  <c r="E28" i="8"/>
  <c r="D15" i="1"/>
  <c r="E31" i="1" s="1"/>
  <c r="D17" i="1"/>
  <c r="D25" i="1" s="1"/>
  <c r="C28" i="9" l="1"/>
  <c r="D22" i="9"/>
  <c r="D21" i="9"/>
  <c r="C31" i="9" s="1"/>
  <c r="C31" i="1"/>
  <c r="C33" i="3"/>
  <c r="I23" i="3"/>
  <c r="I22" i="3"/>
  <c r="D15" i="3" s="1"/>
  <c r="I18" i="3" l="1"/>
  <c r="E31" i="3" s="1"/>
  <c r="D35" i="9"/>
  <c r="D36" i="9" s="1"/>
  <c r="D34" i="9"/>
  <c r="C28" i="8"/>
  <c r="I19" i="3"/>
  <c r="E8" i="1"/>
  <c r="I11" i="3"/>
  <c r="D14" i="3" l="1"/>
  <c r="D22" i="8"/>
  <c r="D21" i="8"/>
  <c r="C31" i="8" s="1"/>
  <c r="D18" i="1"/>
  <c r="C30" i="8" l="1"/>
  <c r="D35" i="8" s="1"/>
  <c r="D34" i="8"/>
  <c r="E32" i="1"/>
  <c r="D24" i="1"/>
  <c r="C33" i="1" l="1"/>
  <c r="D37" i="1" s="1"/>
  <c r="D36" i="1" l="1"/>
  <c r="I35" i="3"/>
  <c r="I12" i="3" l="1"/>
  <c r="I13" i="3" s="1"/>
  <c r="I14" i="3"/>
  <c r="I15" i="3" l="1"/>
  <c r="D18" i="3" s="1"/>
  <c r="E32" i="3" l="1"/>
  <c r="I16" i="3"/>
  <c r="D17" i="3" s="1"/>
  <c r="I33" i="3" l="1"/>
  <c r="D24" i="3"/>
  <c r="C31" i="3"/>
  <c r="I34" i="3"/>
  <c r="D25" i="3"/>
  <c r="C34" i="3" l="1"/>
  <c r="D38" i="3" s="1"/>
  <c r="D37" i="3" l="1"/>
  <c r="I32" i="3"/>
  <c r="I37" i="3" s="1"/>
</calcChain>
</file>

<file path=xl/sharedStrings.xml><?xml version="1.0" encoding="utf-8"?>
<sst xmlns="http://schemas.openxmlformats.org/spreadsheetml/2006/main" count="265" uniqueCount="108">
  <si>
    <t>TERNUS LENDING LLC</t>
  </si>
  <si>
    <t>Date:</t>
  </si>
  <si>
    <t>Guarantor:</t>
  </si>
  <si>
    <t>Phone:</t>
  </si>
  <si>
    <t>Borrower:</t>
  </si>
  <si>
    <t>Years in Business:</t>
  </si>
  <si>
    <t>Email Address:</t>
  </si>
  <si>
    <t>Borrower's Address:</t>
  </si>
  <si>
    <t>Requested Loan Closing Date:</t>
  </si>
  <si>
    <t>Property Address:</t>
  </si>
  <si>
    <t>Year Built:</t>
  </si>
  <si>
    <t>Bedrooms:</t>
  </si>
  <si>
    <t>SqFt:</t>
  </si>
  <si>
    <t>Bathrooms:</t>
  </si>
  <si>
    <t>Pool:</t>
  </si>
  <si>
    <t>Garage:</t>
  </si>
  <si>
    <t>Est. After Repair Value(ARV):</t>
  </si>
  <si>
    <t>Rehab Budget:</t>
  </si>
  <si>
    <t>Purchase Price</t>
  </si>
  <si>
    <t>Max Loan Amount:</t>
  </si>
  <si>
    <t>Initial Advance:</t>
  </si>
  <si>
    <t>Loan Terms</t>
  </si>
  <si>
    <t>Pmt type:</t>
  </si>
  <si>
    <t>Interest Only</t>
  </si>
  <si>
    <t>Term:</t>
  </si>
  <si>
    <t>Daily Interest rate:</t>
  </si>
  <si>
    <t>12%  actual days/ 360</t>
  </si>
  <si>
    <t>Estimated 30-day Interest Pmt:</t>
  </si>
  <si>
    <t>Due date:</t>
  </si>
  <si>
    <t>1st of month</t>
  </si>
  <si>
    <t>Interest Due at closing:</t>
  </si>
  <si>
    <t>Prorated current month</t>
  </si>
  <si>
    <t>Insurance:</t>
  </si>
  <si>
    <t>Est. Origination Fee:</t>
  </si>
  <si>
    <t>Processing Fee:</t>
  </si>
  <si>
    <t>Est. Prorated Interest</t>
  </si>
  <si>
    <t>Cash Requiements</t>
  </si>
  <si>
    <t>Required Proof Of Capital</t>
  </si>
  <si>
    <t>Estimated Cash to Close</t>
  </si>
  <si>
    <t>I accept these loan terms and understand some values may change at closing.</t>
  </si>
  <si>
    <t>Initials:</t>
  </si>
  <si>
    <t>_____________________</t>
  </si>
  <si>
    <t>Must show receipt for insurance for 6 months/p@c</t>
  </si>
  <si>
    <t>No</t>
  </si>
  <si>
    <t>Origination Fee</t>
  </si>
  <si>
    <t>Max Leverage</t>
  </si>
  <si>
    <t>Initial LTV Cap</t>
  </si>
  <si>
    <t>Interest Reserve:</t>
  </si>
  <si>
    <t>Ineterest reserve</t>
  </si>
  <si>
    <t>Yes</t>
  </si>
  <si>
    <t>MAX LOAN AMOUNT</t>
  </si>
  <si>
    <t>PP + REHAB</t>
  </si>
  <si>
    <t>LOAN AMOUNT BASIS</t>
  </si>
  <si>
    <t>REHAB</t>
  </si>
  <si>
    <t>MAX INITIAL ADVANCE</t>
  </si>
  <si>
    <t>ecc</t>
  </si>
  <si>
    <t>DP</t>
  </si>
  <si>
    <t>6 PAYMENTS</t>
  </si>
  <si>
    <t>10% BUFFER</t>
  </si>
  <si>
    <t>TOTAL LOAN AMOUNT:</t>
  </si>
  <si>
    <t>NOTE: These numbers are simply estimates designed to help you plan.  Ternus Lending, LLC has no control over other charges you may incur from the title company or other entities. This is not an underwriting approval or commitment to lend. Terms subject to change pending underwriting.</t>
  </si>
  <si>
    <t>Budget contingency</t>
  </si>
  <si>
    <t>Down Payment</t>
  </si>
  <si>
    <t>Budget Contingency</t>
  </si>
  <si>
    <t>Budget Contingency:</t>
  </si>
  <si>
    <t>Down Payment:</t>
  </si>
  <si>
    <t>Rehab</t>
  </si>
  <si>
    <t>ARV</t>
  </si>
  <si>
    <t>PP</t>
  </si>
  <si>
    <t>Data Entry Info</t>
  </si>
  <si>
    <t>Estimated Closing Fees &amp; Adjustments</t>
  </si>
  <si>
    <t xml:space="preserve">Wholetail Loans </t>
  </si>
  <si>
    <t>As-Is Value</t>
  </si>
  <si>
    <t>Est. Prorated Interest:</t>
  </si>
  <si>
    <t>Loan Amount</t>
  </si>
  <si>
    <t># of months</t>
  </si>
  <si>
    <t>Estimated Closing Fees &amp; Cash Requirements</t>
  </si>
  <si>
    <t>Rate</t>
  </si>
  <si>
    <t>Default is 12%</t>
  </si>
  <si>
    <t>Default is 1%</t>
  </si>
  <si>
    <t>Default is No</t>
  </si>
  <si>
    <t>Default is 2 Months</t>
  </si>
  <si>
    <t>Do not change defaults without approval</t>
  </si>
  <si>
    <t>Loan Data Parameters</t>
  </si>
  <si>
    <t>Must show receipt for insurance for loan term/p@c</t>
  </si>
  <si>
    <t>TERM SHEET</t>
  </si>
  <si>
    <t>Per Diem Interest Payment</t>
  </si>
  <si>
    <t>Application Fee:</t>
  </si>
  <si>
    <t>Doc Prep Fee:</t>
  </si>
  <si>
    <t>Budget</t>
  </si>
  <si>
    <t>Adjusted Value</t>
  </si>
  <si>
    <t>Lendable Home Value</t>
  </si>
  <si>
    <t>Lendable Value</t>
  </si>
  <si>
    <t>Doc Prep:</t>
  </si>
  <si>
    <t>Bridge - Purchase</t>
  </si>
  <si>
    <t>Fix N Flip - Purchase</t>
  </si>
  <si>
    <t>Fix N Flip - Delayed Purchase</t>
  </si>
  <si>
    <t>6 months</t>
  </si>
  <si>
    <t>Purchase</t>
  </si>
  <si>
    <t>Refinance</t>
  </si>
  <si>
    <t>Delayed Purchase</t>
  </si>
  <si>
    <t>Transaction Type</t>
  </si>
  <si>
    <t>Current Balance*</t>
  </si>
  <si>
    <t>*NOTE: Only fill for Refi's</t>
  </si>
  <si>
    <t>Net Proceeds</t>
  </si>
  <si>
    <t>Estimated Costs + Payoff</t>
  </si>
  <si>
    <t>Term (months):</t>
  </si>
  <si>
    <t>PP/AIV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</si>
</sst>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0_);\(&quot;$&quot;#,##0\)"/>
    <numFmt numFmtId="7" formatCode="&quot;$&quot;#,##0.00_);\(&quot;$&quot;#,##0.00\)"/>
    <numFmt numFmtId="44" formatCode="_(&quot;$&quot;* #,##0.00_);_(&quot;$&quot;* \(#,##0.00\);_(&quot;$&quot;* &quot;-&quot;??_);_(@_)"/>
    <numFmt numFmtId="164" formatCode="&quot;$&quot;#,##0.00"/>
    <numFmt numFmtId="165" formatCode="_([$$-409]* #,##0.00_);_([$$-409]* \(#,##0.00\);_([$$-409]* &quot;-&quot;??_);_(@_)"/>
    <numFmt numFmtId="166" formatCode="&quot;$&quot;#,##0"/>
    <numFmt numFmtId="167" formatCode="0.000%"/>
    <numFmt numFmtId="168" formatCode="&quot;$&quot;#,##0.00;[Red]&quot;$&quot;#,##0.00"/>
    <numFmt numFmtId="169" formatCode="_(&quot;$&quot;* #,##0.0_);_(&quot;$&quot;* \(#,##0.0\);_(&quot;$&quot;* &quot;-&quot;?_);_(@_)"/>
  </numFmts>
  <fonts count="17" x14ac:knownFonts="1">
    <font>
      <sz val="11"/>
      <color theme="1"/>
      <name val="Aptos Narrow"/>
      <family val="2"/>
      <scheme val="minor"/>
    </font>
    <font>
      <sz val="11"/>
      <color theme="1"/>
      <name val="Aptos Narrow"/>
      <family val="2"/>
      <scheme val="minor"/>
    </font>
    <font>
      <b/>
      <u/>
      <sz val="16"/>
      <color theme="1"/>
      <name val="Aptos Narrow"/>
      <family val="2"/>
      <scheme val="minor"/>
    </font>
    <font>
      <b/>
      <sz val="20"/>
      <color theme="1"/>
      <name val="Aptos Narrow"/>
      <family val="2"/>
      <scheme val="minor"/>
    </font>
    <font>
      <b/>
      <sz val="14"/>
      <color rgb="FFFF0000"/>
      <name val="Aptos Narrow"/>
      <family val="2"/>
      <scheme val="minor"/>
    </font>
    <font>
      <sz val="10"/>
      <color theme="1"/>
      <name val="Aptos Narrow"/>
      <family val="2"/>
      <scheme val="minor"/>
    </font>
    <font>
      <sz val="11"/>
      <color theme="1"/>
      <name val="Calibri"/>
      <family val="2"/>
      <charset val="1"/>
    </font>
    <font>
      <u/>
      <sz val="11"/>
      <color theme="10"/>
      <name val="Aptos Narrow"/>
      <family val="2"/>
      <scheme val="minor"/>
    </font>
    <font>
      <b/>
      <u/>
      <sz val="10"/>
      <color theme="1"/>
      <name val="Aptos Narrow"/>
      <family val="2"/>
      <scheme val="minor"/>
    </font>
    <font>
      <b/>
      <i/>
      <u/>
      <sz val="11"/>
      <color rgb="FFFFFF00"/>
      <name val="Aptos Narrow"/>
      <family val="2"/>
      <scheme val="minor"/>
    </font>
    <font>
      <sz val="11"/>
      <color rgb="FFFF0000"/>
      <name val="Aptos Narrow"/>
      <family val="2"/>
      <scheme val="minor"/>
    </font>
    <font>
      <b/>
      <sz val="10"/>
      <color theme="1"/>
      <name val="Aptos Narrow"/>
      <family val="2"/>
      <scheme val="minor"/>
    </font>
    <font>
      <sz val="10"/>
      <color theme="1"/>
      <name val="Calibri"/>
      <family val="2"/>
      <charset val="1"/>
    </font>
    <font>
      <u/>
      <sz val="10"/>
      <color theme="10"/>
      <name val="Aptos Narrow"/>
      <family val="2"/>
      <scheme val="minor"/>
    </font>
    <font>
      <b/>
      <sz val="10"/>
      <color rgb="FFFF0000"/>
      <name val="Aptos Narrow"/>
      <family val="2"/>
      <scheme val="minor"/>
    </font>
    <font>
      <sz val="10"/>
      <color rgb="FF000000"/>
      <name val="Aptos Narrow"/>
      <family val="2"/>
      <scheme val="minor"/>
    </font>
    <font>
      <sz val="10"/>
      <name val="Aptos Narrow"/>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s>
  <borders count="2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rgb="FF000000"/>
      </left>
      <right/>
      <top/>
      <bottom/>
      <diagonal/>
    </border>
    <border>
      <left/>
      <right style="medium">
        <color rgb="FF000000"/>
      </right>
      <top/>
      <bottom/>
      <diagonal/>
    </border>
    <border>
      <left/>
      <right style="medium">
        <color rgb="FF000000"/>
      </right>
      <top style="medium">
        <color indexed="64"/>
      </top>
      <bottom/>
      <diagonal/>
    </border>
    <border>
      <left style="thin">
        <color indexed="64"/>
      </left>
      <right style="medium">
        <color rgb="FF000000"/>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cellStyleXfs>
  <cellXfs count="162">
    <xf numFmtId="0" fontId="0" fillId="0" borderId="0" xfId="0"/>
    <xf numFmtId="44" fontId="0" fillId="0" borderId="0" xfId="0" applyNumberFormat="1"/>
    <xf numFmtId="0" fontId="0" fillId="0" borderId="5" xfId="0" applyBorder="1"/>
    <xf numFmtId="0" fontId="0" fillId="0" borderId="0" xfId="0" applyAlignment="1">
      <alignment horizontal="right"/>
    </xf>
    <xf numFmtId="0" fontId="4" fillId="0" borderId="6" xfId="0" applyFont="1" applyBorder="1" applyAlignment="1">
      <alignment horizontal="center"/>
    </xf>
    <xf numFmtId="164" fontId="0" fillId="0" borderId="0" xfId="0" applyNumberFormat="1"/>
    <xf numFmtId="0" fontId="0" fillId="0" borderId="0" xfId="0" applyAlignment="1">
      <alignment horizontal="center"/>
    </xf>
    <xf numFmtId="0" fontId="8" fillId="0" borderId="1" xfId="0" applyFont="1" applyBorder="1" applyAlignment="1">
      <alignment horizontal="right"/>
    </xf>
    <xf numFmtId="0" fontId="8" fillId="0" borderId="3" xfId="0" applyFont="1" applyBorder="1" applyAlignment="1">
      <alignment horizontal="right"/>
    </xf>
    <xf numFmtId="0" fontId="8" fillId="0" borderId="0" xfId="0" applyFont="1" applyAlignment="1">
      <alignment horizontal="right"/>
    </xf>
    <xf numFmtId="0" fontId="8" fillId="0" borderId="16" xfId="0" applyFont="1" applyBorder="1" applyAlignment="1">
      <alignment horizontal="right"/>
    </xf>
    <xf numFmtId="0" fontId="0" fillId="0" borderId="15" xfId="0" applyBorder="1"/>
    <xf numFmtId="166" fontId="0" fillId="4" borderId="15" xfId="0" applyNumberFormat="1" applyFill="1" applyBorder="1"/>
    <xf numFmtId="166" fontId="0" fillId="4" borderId="21" xfId="0" applyNumberFormat="1" applyFill="1" applyBorder="1"/>
    <xf numFmtId="0" fontId="8" fillId="0" borderId="8" xfId="0" applyFont="1" applyBorder="1" applyAlignment="1">
      <alignment horizontal="right"/>
    </xf>
    <xf numFmtId="0" fontId="8" fillId="0" borderId="7" xfId="0" applyFont="1" applyBorder="1" applyAlignment="1">
      <alignment horizontal="right"/>
    </xf>
    <xf numFmtId="166" fontId="0" fillId="0" borderId="0" xfId="0" applyNumberFormat="1"/>
    <xf numFmtId="166" fontId="11" fillId="2" borderId="0" xfId="1" applyNumberFormat="1" applyFont="1" applyFill="1" applyBorder="1" applyAlignment="1" applyProtection="1">
      <alignment horizontal="right"/>
      <protection hidden="1"/>
    </xf>
    <xf numFmtId="166" fontId="5" fillId="0" borderId="0" xfId="2" applyNumberFormat="1" applyFont="1" applyBorder="1" applyAlignment="1" applyProtection="1">
      <alignment horizontal="center"/>
      <protection hidden="1"/>
    </xf>
    <xf numFmtId="0" fontId="5" fillId="0" borderId="5" xfId="0" applyFont="1" applyBorder="1"/>
    <xf numFmtId="0" fontId="14" fillId="0" borderId="6" xfId="0" applyFont="1" applyBorder="1" applyAlignment="1">
      <alignment horizontal="center"/>
    </xf>
    <xf numFmtId="0" fontId="5" fillId="0" borderId="12" xfId="0" applyFont="1" applyBorder="1" applyAlignment="1">
      <alignment horizontal="center"/>
    </xf>
    <xf numFmtId="0" fontId="15" fillId="0" borderId="14" xfId="0" applyFont="1" applyBorder="1" applyAlignment="1">
      <alignment horizontal="center" vertical="center"/>
    </xf>
    <xf numFmtId="0" fontId="11" fillId="0" borderId="17" xfId="0" applyFont="1" applyBorder="1" applyAlignment="1" applyProtection="1">
      <alignment horizontal="center" vertical="center"/>
      <protection locked="0"/>
    </xf>
    <xf numFmtId="14" fontId="8" fillId="0" borderId="18" xfId="0" applyNumberFormat="1" applyFont="1" applyBorder="1" applyAlignment="1" applyProtection="1">
      <alignment horizontal="center" vertical="center"/>
      <protection locked="0"/>
    </xf>
    <xf numFmtId="0" fontId="8" fillId="0" borderId="15" xfId="0" applyFont="1" applyBorder="1" applyAlignment="1">
      <alignment horizontal="right" wrapText="1"/>
    </xf>
    <xf numFmtId="0" fontId="5" fillId="0" borderId="12" xfId="0" applyFont="1" applyBorder="1" applyAlignment="1" applyProtection="1">
      <alignment horizontal="center"/>
      <protection hidden="1"/>
    </xf>
    <xf numFmtId="0" fontId="15" fillId="0" borderId="14" xfId="0" applyFont="1" applyBorder="1" applyAlignment="1" applyProtection="1">
      <alignment horizontal="center" vertical="center"/>
      <protection hidden="1"/>
    </xf>
    <xf numFmtId="0" fontId="11" fillId="0" borderId="17" xfId="0" applyFont="1" applyBorder="1" applyAlignment="1" applyProtection="1">
      <alignment horizontal="center" vertical="center"/>
      <protection hidden="1"/>
    </xf>
    <xf numFmtId="0" fontId="8" fillId="0" borderId="1" xfId="0" applyFont="1" applyBorder="1" applyAlignment="1" applyProtection="1">
      <alignment horizontal="right"/>
      <protection hidden="1"/>
    </xf>
    <xf numFmtId="0" fontId="8" fillId="0" borderId="7" xfId="0" applyFont="1" applyBorder="1" applyAlignment="1" applyProtection="1">
      <alignment horizontal="right"/>
      <protection hidden="1"/>
    </xf>
    <xf numFmtId="0" fontId="8" fillId="0" borderId="3" xfId="0" applyFont="1" applyBorder="1" applyAlignment="1" applyProtection="1">
      <alignment horizontal="right"/>
      <protection hidden="1"/>
    </xf>
    <xf numFmtId="0" fontId="5" fillId="0" borderId="0" xfId="0" applyFont="1" applyProtection="1">
      <protection hidden="1"/>
    </xf>
    <xf numFmtId="0" fontId="8" fillId="0" borderId="0" xfId="0" applyFont="1" applyAlignment="1" applyProtection="1">
      <alignment horizontal="right"/>
      <protection hidden="1"/>
    </xf>
    <xf numFmtId="0" fontId="5" fillId="0" borderId="5" xfId="0" applyFont="1" applyBorder="1" applyProtection="1">
      <protection hidden="1"/>
    </xf>
    <xf numFmtId="0" fontId="8" fillId="0" borderId="8" xfId="0" applyFont="1" applyBorder="1" applyAlignment="1" applyProtection="1">
      <alignment horizontal="right"/>
      <protection hidden="1"/>
    </xf>
    <xf numFmtId="0" fontId="14" fillId="0" borderId="6" xfId="0" applyFont="1" applyBorder="1" applyAlignment="1" applyProtection="1">
      <alignment horizontal="center"/>
      <protection hidden="1"/>
    </xf>
    <xf numFmtId="0" fontId="8" fillId="0" borderId="16" xfId="0" applyFont="1" applyBorder="1" applyAlignment="1" applyProtection="1">
      <alignment horizontal="right"/>
      <protection hidden="1"/>
    </xf>
    <xf numFmtId="0" fontId="8" fillId="0" borderId="15" xfId="0" applyFont="1" applyBorder="1" applyAlignment="1" applyProtection="1">
      <alignment horizontal="right" wrapText="1"/>
      <protection hidden="1"/>
    </xf>
    <xf numFmtId="0" fontId="5" fillId="0" borderId="3" xfId="0" applyFont="1" applyBorder="1" applyProtection="1">
      <protection hidden="1"/>
    </xf>
    <xf numFmtId="166" fontId="5" fillId="0" borderId="0" xfId="1" applyNumberFormat="1" applyFont="1" applyBorder="1" applyAlignment="1" applyProtection="1">
      <alignment horizontal="right"/>
      <protection hidden="1"/>
    </xf>
    <xf numFmtId="0" fontId="5" fillId="0" borderId="4" xfId="0" applyFont="1" applyBorder="1" applyProtection="1">
      <protection hidden="1"/>
    </xf>
    <xf numFmtId="0" fontId="8" fillId="2" borderId="0" xfId="0" applyFont="1" applyFill="1" applyAlignment="1" applyProtection="1">
      <alignment horizontal="right"/>
      <protection hidden="1"/>
    </xf>
    <xf numFmtId="0" fontId="5" fillId="0" borderId="4" xfId="0" quotePrefix="1" applyFont="1" applyBorder="1" applyAlignment="1" applyProtection="1">
      <alignment horizontal="center"/>
      <protection hidden="1"/>
    </xf>
    <xf numFmtId="164" fontId="5" fillId="0" borderId="0" xfId="1" applyNumberFormat="1" applyFont="1" applyBorder="1" applyAlignment="1" applyProtection="1">
      <alignment horizontal="right"/>
      <protection hidden="1"/>
    </xf>
    <xf numFmtId="164" fontId="8" fillId="0" borderId="7" xfId="1" applyNumberFormat="1" applyFont="1" applyBorder="1" applyProtection="1">
      <protection hidden="1"/>
    </xf>
    <xf numFmtId="164" fontId="8" fillId="0" borderId="0" xfId="1" applyNumberFormat="1" applyFont="1" applyBorder="1" applyProtection="1">
      <protection hidden="1"/>
    </xf>
    <xf numFmtId="0" fontId="0" fillId="0" borderId="0" xfId="0" applyProtection="1">
      <protection hidden="1"/>
    </xf>
    <xf numFmtId="0" fontId="0" fillId="0" borderId="4" xfId="0" applyBorder="1" applyProtection="1">
      <protection hidden="1"/>
    </xf>
    <xf numFmtId="44" fontId="5" fillId="0" borderId="8" xfId="0" applyNumberFormat="1" applyFont="1" applyBorder="1" applyProtection="1">
      <protection hidden="1"/>
    </xf>
    <xf numFmtId="0" fontId="5" fillId="0" borderId="6" xfId="0" applyFont="1" applyBorder="1" applyProtection="1">
      <protection hidden="1"/>
    </xf>
    <xf numFmtId="0" fontId="8" fillId="3" borderId="0" xfId="0" applyFont="1" applyFill="1" applyProtection="1">
      <protection hidden="1"/>
    </xf>
    <xf numFmtId="44" fontId="11" fillId="2" borderId="0" xfId="0" applyNumberFormat="1" applyFont="1" applyFill="1" applyProtection="1">
      <protection hidden="1"/>
    </xf>
    <xf numFmtId="165" fontId="11" fillId="2" borderId="0" xfId="0" applyNumberFormat="1" applyFont="1" applyFill="1" applyProtection="1">
      <protection hidden="1"/>
    </xf>
    <xf numFmtId="0" fontId="0" fillId="0" borderId="0" xfId="0" applyAlignment="1" applyProtection="1">
      <alignment horizontal="right"/>
      <protection hidden="1"/>
    </xf>
    <xf numFmtId="9" fontId="0" fillId="0" borderId="0" xfId="0" applyNumberFormat="1" applyProtection="1">
      <protection hidden="1"/>
    </xf>
    <xf numFmtId="0" fontId="0" fillId="4" borderId="0" xfId="0" applyFill="1" applyAlignment="1" applyProtection="1">
      <alignment horizontal="right"/>
      <protection locked="0" hidden="1"/>
    </xf>
    <xf numFmtId="167" fontId="0" fillId="4" borderId="15" xfId="0" applyNumberFormat="1" applyFill="1" applyBorder="1" applyProtection="1">
      <protection locked="0" hidden="1"/>
    </xf>
    <xf numFmtId="9" fontId="0" fillId="4" borderId="15" xfId="0" applyNumberFormat="1" applyFill="1" applyBorder="1" applyProtection="1">
      <protection locked="0" hidden="1"/>
    </xf>
    <xf numFmtId="0" fontId="0" fillId="0" borderId="15" xfId="0" applyBorder="1" applyProtection="1">
      <protection hidden="1"/>
    </xf>
    <xf numFmtId="0" fontId="0" fillId="4" borderId="15" xfId="0" applyFill="1" applyBorder="1" applyAlignment="1" applyProtection="1">
      <alignment horizontal="right"/>
      <protection locked="0" hidden="1"/>
    </xf>
    <xf numFmtId="164" fontId="11" fillId="2" borderId="0" xfId="0" applyNumberFormat="1" applyFont="1" applyFill="1" applyProtection="1">
      <protection hidden="1"/>
    </xf>
    <xf numFmtId="164" fontId="11" fillId="2" borderId="0" xfId="0" applyNumberFormat="1" applyFont="1" applyFill="1" applyAlignment="1" applyProtection="1">
      <alignment horizontal="right"/>
      <protection hidden="1"/>
    </xf>
    <xf numFmtId="164" fontId="5" fillId="0" borderId="7" xfId="1" applyNumberFormat="1" applyFont="1" applyBorder="1" applyProtection="1">
      <protection hidden="1"/>
    </xf>
    <xf numFmtId="164" fontId="5" fillId="0" borderId="0" xfId="1" applyNumberFormat="1" applyFont="1" applyBorder="1" applyProtection="1">
      <protection hidden="1"/>
    </xf>
    <xf numFmtId="164" fontId="5" fillId="0" borderId="0" xfId="0" applyNumberFormat="1" applyFont="1" applyProtection="1">
      <protection hidden="1"/>
    </xf>
    <xf numFmtId="164" fontId="5" fillId="0" borderId="2" xfId="0" applyNumberFormat="1" applyFont="1" applyBorder="1" applyAlignment="1" applyProtection="1">
      <alignment horizontal="right"/>
      <protection hidden="1"/>
    </xf>
    <xf numFmtId="164" fontId="5" fillId="0" borderId="4" xfId="0" applyNumberFormat="1" applyFont="1" applyBorder="1" applyProtection="1">
      <protection hidden="1"/>
    </xf>
    <xf numFmtId="0" fontId="5" fillId="0" borderId="0" xfId="1" applyNumberFormat="1" applyFont="1" applyBorder="1" applyAlignment="1" applyProtection="1">
      <alignment horizontal="right"/>
      <protection hidden="1"/>
    </xf>
    <xf numFmtId="0" fontId="12" fillId="0" borderId="7" xfId="0" applyFont="1" applyBorder="1" applyProtection="1">
      <protection locked="0" hidden="1"/>
    </xf>
    <xf numFmtId="0" fontId="5" fillId="0" borderId="0" xfId="0" applyFont="1" applyProtection="1">
      <protection locked="0" hidden="1"/>
    </xf>
    <xf numFmtId="0" fontId="5" fillId="0" borderId="19" xfId="0" applyFont="1" applyBorder="1" applyProtection="1">
      <protection locked="0" hidden="1"/>
    </xf>
    <xf numFmtId="0" fontId="5" fillId="0" borderId="4" xfId="0" applyFont="1" applyBorder="1" applyAlignment="1" applyProtection="1">
      <alignment horizontal="left"/>
      <protection locked="0" hidden="1"/>
    </xf>
    <xf numFmtId="14" fontId="5" fillId="0" borderId="8" xfId="0" applyNumberFormat="1" applyFont="1" applyBorder="1" applyAlignment="1" applyProtection="1">
      <alignment horizontal="center" wrapText="1"/>
      <protection locked="0" hidden="1"/>
    </xf>
    <xf numFmtId="14" fontId="8" fillId="0" borderId="18" xfId="0" applyNumberFormat="1" applyFont="1" applyBorder="1" applyAlignment="1" applyProtection="1">
      <alignment horizontal="center" vertical="center"/>
      <protection locked="0" hidden="1"/>
    </xf>
    <xf numFmtId="0" fontId="5" fillId="0" borderId="15" xfId="0" applyFont="1" applyBorder="1" applyAlignment="1" applyProtection="1">
      <alignment horizontal="center" wrapText="1"/>
      <protection locked="0" hidden="1"/>
    </xf>
    <xf numFmtId="0" fontId="5" fillId="0" borderId="20" xfId="0" applyFont="1" applyBorder="1" applyAlignment="1" applyProtection="1">
      <alignment horizontal="center"/>
      <protection locked="0" hidden="1"/>
    </xf>
    <xf numFmtId="164" fontId="5" fillId="0" borderId="2" xfId="0" applyNumberFormat="1" applyFont="1" applyBorder="1" applyProtection="1">
      <protection hidden="1"/>
    </xf>
    <xf numFmtId="164" fontId="5" fillId="0" borderId="4" xfId="1" applyNumberFormat="1" applyFont="1" applyBorder="1" applyProtection="1">
      <protection hidden="1"/>
    </xf>
    <xf numFmtId="166" fontId="5" fillId="0" borderId="0" xfId="0" applyNumberFormat="1" applyFont="1" applyAlignment="1" applyProtection="1">
      <alignment horizontal="right"/>
      <protection hidden="1"/>
    </xf>
    <xf numFmtId="166" fontId="0" fillId="4" borderId="15" xfId="0" applyNumberFormat="1" applyFill="1" applyBorder="1" applyProtection="1">
      <protection locked="0" hidden="1"/>
    </xf>
    <xf numFmtId="166" fontId="0" fillId="4" borderId="21" xfId="0" applyNumberFormat="1" applyFill="1" applyBorder="1" applyProtection="1">
      <protection locked="0" hidden="1"/>
    </xf>
    <xf numFmtId="164" fontId="0" fillId="4" borderId="22" xfId="0" applyNumberFormat="1" applyFill="1" applyBorder="1" applyProtection="1">
      <protection locked="0" hidden="1"/>
    </xf>
    <xf numFmtId="0" fontId="0" fillId="0" borderId="22" xfId="0" applyBorder="1" applyProtection="1">
      <protection hidden="1"/>
    </xf>
    <xf numFmtId="169" fontId="0" fillId="0" borderId="15" xfId="0" applyNumberFormat="1" applyBorder="1" applyProtection="1">
      <protection hidden="1"/>
    </xf>
    <xf numFmtId="166" fontId="0" fillId="0" borderId="15" xfId="0" applyNumberFormat="1" applyBorder="1" applyProtection="1">
      <protection hidden="1"/>
    </xf>
    <xf numFmtId="0" fontId="6" fillId="0" borderId="7" xfId="0" applyFont="1" applyBorder="1" applyProtection="1">
      <protection locked="0" hidden="1"/>
    </xf>
    <xf numFmtId="0" fontId="0" fillId="0" borderId="0" xfId="0" applyProtection="1">
      <protection locked="0" hidden="1"/>
    </xf>
    <xf numFmtId="0" fontId="0" fillId="0" borderId="19" xfId="0" applyBorder="1" applyProtection="1">
      <protection locked="0" hidden="1"/>
    </xf>
    <xf numFmtId="0" fontId="0" fillId="0" borderId="4" xfId="0" applyBorder="1" applyAlignment="1" applyProtection="1">
      <alignment horizontal="left"/>
      <protection locked="0" hidden="1"/>
    </xf>
    <xf numFmtId="14" fontId="0" fillId="0" borderId="8" xfId="0" applyNumberFormat="1" applyBorder="1" applyAlignment="1" applyProtection="1">
      <alignment horizontal="center" wrapText="1"/>
      <protection locked="0" hidden="1"/>
    </xf>
    <xf numFmtId="7" fontId="5" fillId="0" borderId="0" xfId="1" applyNumberFormat="1" applyFont="1" applyBorder="1" applyAlignment="1" applyProtection="1">
      <alignment horizontal="right"/>
      <protection hidden="1"/>
    </xf>
    <xf numFmtId="9" fontId="5" fillId="0" borderId="0" xfId="2" applyFont="1" applyBorder="1" applyAlignment="1" applyProtection="1">
      <alignment horizontal="center"/>
      <protection hidden="1"/>
    </xf>
    <xf numFmtId="164" fontId="11" fillId="2" borderId="0" xfId="1" applyNumberFormat="1" applyFont="1" applyFill="1" applyBorder="1" applyAlignment="1" applyProtection="1">
      <alignment horizontal="right"/>
      <protection hidden="1"/>
    </xf>
    <xf numFmtId="0" fontId="8" fillId="0" borderId="8" xfId="0" applyFont="1" applyBorder="1" applyProtection="1">
      <protection hidden="1"/>
    </xf>
    <xf numFmtId="44" fontId="5" fillId="0" borderId="8" xfId="1" applyFont="1" applyBorder="1" applyProtection="1">
      <protection hidden="1"/>
    </xf>
    <xf numFmtId="166" fontId="5" fillId="0" borderId="7" xfId="1" applyNumberFormat="1" applyFont="1" applyBorder="1" applyProtection="1">
      <protection hidden="1"/>
    </xf>
    <xf numFmtId="5" fontId="16" fillId="0" borderId="2" xfId="0" applyNumberFormat="1" applyFont="1" applyBorder="1" applyAlignment="1" applyProtection="1">
      <alignment horizontal="right"/>
      <protection hidden="1"/>
    </xf>
    <xf numFmtId="166" fontId="5" fillId="0" borderId="0" xfId="1" applyNumberFormat="1" applyFont="1" applyBorder="1" applyProtection="1">
      <protection hidden="1"/>
    </xf>
    <xf numFmtId="5" fontId="5" fillId="0" borderId="4" xfId="0" applyNumberFormat="1" applyFont="1" applyBorder="1" applyAlignment="1" applyProtection="1">
      <alignment horizontal="right"/>
      <protection hidden="1"/>
    </xf>
    <xf numFmtId="168" fontId="5" fillId="0" borderId="4" xfId="0" applyNumberFormat="1" applyFont="1" applyBorder="1" applyProtection="1">
      <protection hidden="1"/>
    </xf>
    <xf numFmtId="166" fontId="5" fillId="0" borderId="0" xfId="0" applyNumberFormat="1" applyFont="1" applyProtection="1">
      <protection hidden="1"/>
    </xf>
    <xf numFmtId="167" fontId="0" fillId="4" borderId="0" xfId="0" applyNumberFormat="1" applyFill="1" applyAlignment="1" applyProtection="1">
      <alignment horizontal="right"/>
      <protection locked="0" hidden="1"/>
    </xf>
    <xf numFmtId="9" fontId="0" fillId="4" borderId="0" xfId="0" applyNumberFormat="1" applyFill="1" applyAlignment="1" applyProtection="1">
      <alignment horizontal="right"/>
      <protection locked="0" hidden="1"/>
    </xf>
    <xf numFmtId="0" fontId="0" fillId="0" borderId="0" xfId="0" applyAlignment="1" applyProtection="1">
      <alignment horizontal="center"/>
      <protection hidden="1"/>
    </xf>
    <xf numFmtId="44" fontId="0" fillId="0" borderId="0" xfId="0" applyNumberFormat="1" applyProtection="1">
      <protection hidden="1"/>
    </xf>
    <xf numFmtId="164" fontId="0" fillId="0" borderId="0" xfId="0" applyNumberFormat="1" applyProtection="1">
      <protection hidden="1"/>
    </xf>
    <xf numFmtId="0" fontId="0" fillId="4" borderId="15" xfId="0" applyFill="1" applyBorder="1" applyProtection="1">
      <protection locked="0" hidden="1"/>
    </xf>
    <xf numFmtId="7" fontId="5" fillId="0" borderId="0" xfId="1" applyNumberFormat="1" applyFont="1" applyBorder="1" applyProtection="1">
      <protection hidden="1"/>
    </xf>
    <xf numFmtId="0" fontId="8" fillId="0" borderId="23" xfId="0" applyFont="1" applyBorder="1" applyAlignment="1">
      <alignment horizontal="right"/>
    </xf>
    <xf numFmtId="167" fontId="5" fillId="0" borderId="0" xfId="1" applyNumberFormat="1" applyFont="1" applyBorder="1" applyAlignment="1" applyProtection="1">
      <alignment horizontal="right"/>
      <protection hidden="1"/>
    </xf>
    <xf numFmtId="44" fontId="5" fillId="0" borderId="4" xfId="1" applyFont="1" applyBorder="1" applyAlignment="1" applyProtection="1">
      <protection hidden="1"/>
    </xf>
    <xf numFmtId="0" fontId="8" fillId="0" borderId="3" xfId="0" applyFont="1" applyBorder="1" applyProtection="1">
      <protection hidden="1"/>
    </xf>
    <xf numFmtId="164" fontId="5" fillId="0" borderId="4" xfId="0" applyNumberFormat="1" applyFont="1" applyBorder="1" applyAlignment="1" applyProtection="1">
      <alignment horizontal="right"/>
      <protection hidden="1"/>
    </xf>
    <xf numFmtId="164" fontId="8" fillId="0" borderId="0" xfId="0" applyNumberFormat="1" applyFont="1" applyProtection="1">
      <protection hidden="1"/>
    </xf>
    <xf numFmtId="0" fontId="8" fillId="2" borderId="0" xfId="0" applyFont="1" applyFill="1" applyProtection="1">
      <protection hidden="1"/>
    </xf>
    <xf numFmtId="4" fontId="11" fillId="2" borderId="0" xfId="0" applyNumberFormat="1" applyFont="1" applyFill="1" applyProtection="1">
      <protection hidden="1"/>
    </xf>
    <xf numFmtId="0" fontId="10" fillId="0" borderId="9" xfId="0" applyFont="1" applyBorder="1" applyAlignment="1" applyProtection="1">
      <alignment horizontal="center"/>
      <protection hidden="1"/>
    </xf>
    <xf numFmtId="0" fontId="10" fillId="0" borderId="11" xfId="0" applyFont="1" applyBorder="1" applyAlignment="1" applyProtection="1">
      <alignment horizontal="center"/>
      <protection hidden="1"/>
    </xf>
    <xf numFmtId="0" fontId="0" fillId="0" borderId="15" xfId="0" applyBorder="1" applyAlignment="1" applyProtection="1">
      <alignment horizontal="center"/>
      <protection hidden="1"/>
    </xf>
    <xf numFmtId="0" fontId="0" fillId="0" borderId="15" xfId="0" applyBorder="1" applyAlignment="1">
      <alignment horizontal="center"/>
    </xf>
    <xf numFmtId="0" fontId="14" fillId="0" borderId="1" xfId="0" applyFont="1" applyBorder="1" applyAlignment="1" applyProtection="1">
      <alignment horizontal="left" vertical="center" wrapText="1"/>
      <protection hidden="1"/>
    </xf>
    <xf numFmtId="0" fontId="14" fillId="0" borderId="7" xfId="0" applyFont="1" applyBorder="1" applyAlignment="1" applyProtection="1">
      <alignment horizontal="left" vertical="center" wrapText="1"/>
      <protection hidden="1"/>
    </xf>
    <xf numFmtId="0" fontId="14" fillId="0" borderId="2" xfId="0" applyFont="1" applyBorder="1" applyAlignment="1" applyProtection="1">
      <alignment horizontal="left" vertical="center" wrapText="1"/>
      <protection hidden="1"/>
    </xf>
    <xf numFmtId="0" fontId="14" fillId="0" borderId="3" xfId="0" applyFont="1" applyBorder="1" applyAlignment="1" applyProtection="1">
      <alignment horizontal="left" vertical="center" wrapText="1"/>
      <protection hidden="1"/>
    </xf>
    <xf numFmtId="0" fontId="14" fillId="0" borderId="0" xfId="0" applyFont="1" applyAlignment="1" applyProtection="1">
      <alignment horizontal="left" vertical="center" wrapText="1"/>
      <protection hidden="1"/>
    </xf>
    <xf numFmtId="0" fontId="14" fillId="0" borderId="4" xfId="0" applyFont="1" applyBorder="1" applyAlignment="1" applyProtection="1">
      <alignment horizontal="left" vertical="center" wrapText="1"/>
      <protection hidden="1"/>
    </xf>
    <xf numFmtId="0" fontId="14" fillId="0" borderId="5" xfId="0" applyFont="1" applyBorder="1" applyAlignment="1" applyProtection="1">
      <alignment horizontal="left" vertical="center" wrapText="1"/>
      <protection hidden="1"/>
    </xf>
    <xf numFmtId="0" fontId="14" fillId="0" borderId="8" xfId="0" applyFont="1" applyBorder="1" applyAlignment="1" applyProtection="1">
      <alignment horizontal="left" vertical="center" wrapText="1"/>
      <protection hidden="1"/>
    </xf>
    <xf numFmtId="0" fontId="14" fillId="0" borderId="6" xfId="0" applyFont="1" applyBorder="1" applyAlignment="1" applyProtection="1">
      <alignment horizontal="left" vertical="center" wrapText="1"/>
      <protection hidden="1"/>
    </xf>
    <xf numFmtId="0" fontId="0" fillId="0" borderId="7" xfId="0" applyBorder="1" applyAlignment="1">
      <alignment horizontal="center"/>
    </xf>
    <xf numFmtId="0" fontId="0" fillId="0" borderId="0" xfId="0" applyAlignment="1">
      <alignment horizontal="center"/>
    </xf>
    <xf numFmtId="0" fontId="3" fillId="0" borderId="0" xfId="0" applyFont="1" applyAlignment="1">
      <alignment horizontal="center"/>
    </xf>
    <xf numFmtId="0" fontId="2" fillId="0" borderId="13" xfId="0" applyFont="1" applyBorder="1" applyAlignment="1">
      <alignment horizontal="center" vertical="center"/>
    </xf>
    <xf numFmtId="0" fontId="2" fillId="0" borderId="0" xfId="0" applyFont="1" applyAlignment="1">
      <alignment horizontal="center" vertical="center"/>
    </xf>
    <xf numFmtId="0" fontId="7" fillId="0" borderId="0" xfId="3" applyAlignment="1" applyProtection="1">
      <alignment horizontal="left"/>
      <protection locked="0" hidden="1"/>
    </xf>
    <xf numFmtId="0" fontId="0" fillId="0" borderId="0" xfId="0" applyAlignment="1" applyProtection="1">
      <alignment horizontal="left"/>
      <protection locked="0" hidden="1"/>
    </xf>
    <xf numFmtId="0" fontId="0" fillId="0" borderId="18" xfId="0" applyBorder="1" applyAlignment="1" applyProtection="1">
      <alignment horizontal="left"/>
      <protection locked="0" hidden="1"/>
    </xf>
    <xf numFmtId="0" fontId="0" fillId="0" borderId="0" xfId="0" applyAlignment="1" applyProtection="1">
      <alignment horizontal="left" wrapText="1"/>
      <protection locked="0" hidden="1"/>
    </xf>
    <xf numFmtId="0" fontId="0" fillId="0" borderId="18" xfId="0" applyBorder="1" applyAlignment="1" applyProtection="1">
      <alignment horizontal="left" wrapText="1"/>
      <protection locked="0" hidden="1"/>
    </xf>
    <xf numFmtId="0" fontId="12" fillId="0" borderId="7" xfId="0" applyFont="1" applyBorder="1" applyAlignment="1" applyProtection="1">
      <alignment horizontal="center" wrapText="1"/>
      <protection locked="0" hidden="1"/>
    </xf>
    <xf numFmtId="0" fontId="5" fillId="0" borderId="7" xfId="0" applyFont="1" applyBorder="1" applyAlignment="1" applyProtection="1">
      <alignment horizontal="center" wrapText="1"/>
      <protection locked="0" hidden="1"/>
    </xf>
    <xf numFmtId="0" fontId="5" fillId="0" borderId="19" xfId="0" applyFont="1" applyBorder="1" applyAlignment="1" applyProtection="1">
      <alignment horizontal="center" wrapText="1"/>
      <protection locked="0" hidden="1"/>
    </xf>
    <xf numFmtId="0" fontId="8" fillId="0" borderId="9" xfId="0" applyFont="1" applyBorder="1" applyAlignment="1" applyProtection="1">
      <alignment horizontal="center"/>
      <protection hidden="1"/>
    </xf>
    <xf numFmtId="0" fontId="8" fillId="0" borderId="10" xfId="0" applyFont="1" applyBorder="1" applyAlignment="1" applyProtection="1">
      <alignment horizontal="center"/>
      <protection hidden="1"/>
    </xf>
    <xf numFmtId="0" fontId="8" fillId="0" borderId="11" xfId="0" applyFont="1" applyBorder="1" applyAlignment="1" applyProtection="1">
      <alignment horizontal="center"/>
      <protection hidden="1"/>
    </xf>
    <xf numFmtId="164" fontId="5" fillId="0" borderId="0" xfId="0" applyNumberFormat="1" applyFont="1" applyAlignment="1" applyProtection="1">
      <alignment horizontal="left" wrapText="1"/>
      <protection hidden="1"/>
    </xf>
    <xf numFmtId="164" fontId="5" fillId="0" borderId="4" xfId="0" applyNumberFormat="1" applyFont="1" applyBorder="1" applyAlignment="1" applyProtection="1">
      <alignment horizontal="left" wrapText="1"/>
      <protection hidden="1"/>
    </xf>
    <xf numFmtId="0" fontId="8" fillId="0" borderId="9" xfId="0" applyFont="1" applyBorder="1" applyAlignment="1" applyProtection="1">
      <alignment horizontal="center" vertical="center"/>
      <protection hidden="1"/>
    </xf>
    <xf numFmtId="0" fontId="8" fillId="0" borderId="10" xfId="0" applyFont="1" applyBorder="1" applyAlignment="1" applyProtection="1">
      <alignment horizontal="center" vertical="center"/>
      <protection hidden="1"/>
    </xf>
    <xf numFmtId="0" fontId="8" fillId="0" borderId="11" xfId="0" applyFont="1" applyBorder="1" applyAlignment="1" applyProtection="1">
      <alignment horizontal="center" vertical="center"/>
      <protection hidden="1"/>
    </xf>
    <xf numFmtId="0" fontId="13" fillId="0" borderId="0" xfId="3" applyFont="1" applyAlignment="1" applyProtection="1">
      <alignment horizontal="left"/>
      <protection locked="0" hidden="1"/>
    </xf>
    <xf numFmtId="0" fontId="5" fillId="0" borderId="0" xfId="0" applyFont="1" applyAlignment="1" applyProtection="1">
      <alignment horizontal="left"/>
      <protection locked="0" hidden="1"/>
    </xf>
    <xf numFmtId="0" fontId="5" fillId="0" borderId="18" xfId="0" applyFont="1" applyBorder="1" applyAlignment="1" applyProtection="1">
      <alignment horizontal="left"/>
      <protection locked="0" hidden="1"/>
    </xf>
    <xf numFmtId="0" fontId="5" fillId="0" borderId="0" xfId="0" applyFont="1" applyAlignment="1" applyProtection="1">
      <alignment horizontal="left" wrapText="1"/>
      <protection locked="0" hidden="1"/>
    </xf>
    <xf numFmtId="0" fontId="5" fillId="0" borderId="18" xfId="0" applyFont="1" applyBorder="1" applyAlignment="1" applyProtection="1">
      <alignment horizontal="left" wrapText="1"/>
      <protection locked="0" hidden="1"/>
    </xf>
    <xf numFmtId="0" fontId="9" fillId="5" borderId="15" xfId="0" applyFont="1" applyFill="1" applyBorder="1" applyAlignment="1">
      <alignment horizontal="center"/>
    </xf>
    <xf numFmtId="0" fontId="0" fillId="0" borderId="15" xfId="0" applyBorder="1"/>
    <xf numFmtId="0" fontId="0" fillId="0" borderId="7" xfId="0" applyBorder="1" applyAlignment="1" applyProtection="1">
      <alignment horizontal="center"/>
      <protection hidden="1"/>
    </xf>
    <xf numFmtId="0" fontId="3" fillId="0" borderId="0" xfId="0" applyFont="1" applyAlignment="1" applyProtection="1">
      <alignment horizontal="center"/>
      <protection hidden="1"/>
    </xf>
    <xf numFmtId="0" fontId="2" fillId="0" borderId="13" xfId="0" applyFont="1" applyBorder="1" applyAlignment="1" applyProtection="1">
      <alignment horizontal="center" vertical="center"/>
      <protection hidden="1"/>
    </xf>
    <xf numFmtId="0" fontId="2" fillId="0" borderId="0" xfId="0" applyFont="1" applyAlignment="1" applyProtection="1">
      <alignment horizontal="center" vertical="center"/>
      <protection hidden="1"/>
    </xf>
  </cellXfs>
  <cellStyles count="4">
    <cellStyle name="Currency" xfId="1" builtinId="4"/>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1209676</xdr:colOff>
      <xdr:row>0</xdr:row>
      <xdr:rowOff>76200</xdr:rowOff>
    </xdr:from>
    <xdr:to>
      <xdr:col>2</xdr:col>
      <xdr:colOff>262891</xdr:colOff>
      <xdr:row>0</xdr:row>
      <xdr:rowOff>358139</xdr:rowOff>
    </xdr:to>
    <xdr:pic>
      <xdr:nvPicPr>
        <xdr:cNvPr id="2" name="Picture 1">
          <a:extLst>
            <a:ext uri="{FF2B5EF4-FFF2-40B4-BE49-F238E27FC236}">
              <a16:creationId xmlns:a16="http://schemas.microsoft.com/office/drawing/2014/main" id="{9C815017-6EFD-45E3-B118-FD766761DF50}"/>
            </a:ext>
          </a:extLst>
        </xdr:cNvPr>
        <xdr:cNvPicPr>
          <a:picLocks noChangeAspect="1"/>
        </xdr:cNvPicPr>
      </xdr:nvPicPr>
      <xdr:blipFill rotWithShape="1">
        <a:blip xmlns:r="http://schemas.openxmlformats.org/officeDocument/2006/relationships" r:embed="rId1"/>
        <a:srcRect l="23881" t="31343" r="22388" b="26866"/>
        <a:stretch/>
      </xdr:blipFill>
      <xdr:spPr>
        <a:xfrm>
          <a:off x="1438276" y="76200"/>
          <a:ext cx="348615" cy="2819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1209676</xdr:colOff>
      <xdr:row>0</xdr:row>
      <xdr:rowOff>57150</xdr:rowOff>
    </xdr:from>
    <xdr:to>
      <xdr:col>2</xdr:col>
      <xdr:colOff>186691</xdr:colOff>
      <xdr:row>0</xdr:row>
      <xdr:rowOff>339089</xdr:rowOff>
    </xdr:to>
    <xdr:pic>
      <xdr:nvPicPr>
        <xdr:cNvPr id="2" name="Picture 1">
          <a:extLst>
            <a:ext uri="{FF2B5EF4-FFF2-40B4-BE49-F238E27FC236}">
              <a16:creationId xmlns:a16="http://schemas.microsoft.com/office/drawing/2014/main" id="{181DB693-9D53-94E9-2C1C-29BA5F13FA17}"/>
            </a:ext>
          </a:extLst>
        </xdr:cNvPr>
        <xdr:cNvPicPr>
          <a:picLocks noChangeAspect="1"/>
        </xdr:cNvPicPr>
      </xdr:nvPicPr>
      <xdr:blipFill rotWithShape="1">
        <a:blip xmlns:r="http://schemas.openxmlformats.org/officeDocument/2006/relationships" r:embed="rId1"/>
        <a:srcRect l="23881" t="31343" r="22388" b="26866"/>
        <a:stretch/>
      </xdr:blipFill>
      <xdr:spPr>
        <a:xfrm>
          <a:off x="1438276" y="57150"/>
          <a:ext cx="342900" cy="2666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1209676</xdr:colOff>
      <xdr:row>0</xdr:row>
      <xdr:rowOff>76200</xdr:rowOff>
    </xdr:from>
    <xdr:to>
      <xdr:col>2</xdr:col>
      <xdr:colOff>262891</xdr:colOff>
      <xdr:row>0</xdr:row>
      <xdr:rowOff>358139</xdr:rowOff>
    </xdr:to>
    <xdr:pic>
      <xdr:nvPicPr>
        <xdr:cNvPr id="2" name="Picture 1">
          <a:extLst>
            <a:ext uri="{FF2B5EF4-FFF2-40B4-BE49-F238E27FC236}">
              <a16:creationId xmlns:a16="http://schemas.microsoft.com/office/drawing/2014/main" id="{0947AF70-2F91-404D-A8E2-01675F6F0F98}"/>
            </a:ext>
          </a:extLst>
        </xdr:cNvPr>
        <xdr:cNvPicPr>
          <a:picLocks noChangeAspect="1"/>
        </xdr:cNvPicPr>
      </xdr:nvPicPr>
      <xdr:blipFill rotWithShape="1">
        <a:blip xmlns:r="http://schemas.openxmlformats.org/officeDocument/2006/relationships" r:embed="rId1"/>
        <a:srcRect l="23881" t="31343" r="22388" b="26866"/>
        <a:stretch/>
      </xdr:blipFill>
      <xdr:spPr>
        <a:xfrm>
          <a:off x="1438276" y="76200"/>
          <a:ext cx="348615" cy="2819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1209676</xdr:colOff>
      <xdr:row>0</xdr:row>
      <xdr:rowOff>76200</xdr:rowOff>
    </xdr:from>
    <xdr:to>
      <xdr:col>2</xdr:col>
      <xdr:colOff>262891</xdr:colOff>
      <xdr:row>0</xdr:row>
      <xdr:rowOff>358139</xdr:rowOff>
    </xdr:to>
    <xdr:pic>
      <xdr:nvPicPr>
        <xdr:cNvPr id="2" name="Picture 1">
          <a:extLst>
            <a:ext uri="{FF2B5EF4-FFF2-40B4-BE49-F238E27FC236}">
              <a16:creationId xmlns:a16="http://schemas.microsoft.com/office/drawing/2014/main" id="{F148C662-E679-4E5B-9B66-C19B362B6B07}"/>
            </a:ext>
          </a:extLst>
        </xdr:cNvPr>
        <xdr:cNvPicPr>
          <a:picLocks noChangeAspect="1"/>
        </xdr:cNvPicPr>
      </xdr:nvPicPr>
      <xdr:blipFill rotWithShape="1">
        <a:blip xmlns:r="http://schemas.openxmlformats.org/officeDocument/2006/relationships" r:embed="rId1"/>
        <a:srcRect l="23881" t="31343" r="22388" b="26866"/>
        <a:stretch/>
      </xdr:blipFill>
      <xdr:spPr>
        <a:xfrm>
          <a:off x="1438276" y="76200"/>
          <a:ext cx="348615" cy="28193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F17E-CEB4-4A75-9B43-0F789244CF5B}">
  <sheetPr>
    <tabColor theme="3" tint="9.9978637043366805E-2"/>
  </sheetPr>
  <dimension ref="A1:J8"/>
  <sheetViews>
    <sheetView workbookViewId="0">
      <selection activeCell="J4" sqref="J4"/>
    </sheetView>
  </sheetViews>
  <sheetFormatPr defaultRowHeight="15" x14ac:dyDescent="0.25"/>
  <cols>
    <col min="1" max="2" width="19.42578125" customWidth="1"/>
    <col min="3" max="4" width="19.42578125" hidden="1" customWidth="1"/>
    <col min="5" max="20" width="19.42578125" customWidth="1"/>
  </cols>
  <sheetData>
    <row r="1" spans="1:10" x14ac:dyDescent="0.25">
      <c r="A1" s="119" t="s">
        <v>95</v>
      </c>
      <c r="B1" s="119"/>
      <c r="C1" s="120" t="s">
        <v>96</v>
      </c>
      <c r="D1" s="120"/>
      <c r="E1" s="119" t="s">
        <v>71</v>
      </c>
      <c r="F1" s="119"/>
      <c r="G1" s="119" t="s">
        <v>94</v>
      </c>
      <c r="H1" s="119"/>
      <c r="I1" s="119" t="s">
        <v>94</v>
      </c>
      <c r="J1" s="119"/>
    </row>
    <row r="2" spans="1:10" x14ac:dyDescent="0.25">
      <c r="A2" s="59" t="s">
        <v>18</v>
      </c>
      <c r="B2" s="80"/>
      <c r="C2" s="12"/>
      <c r="D2" s="12"/>
      <c r="E2" s="59" t="s">
        <v>18</v>
      </c>
      <c r="F2" s="80"/>
      <c r="G2" s="59" t="s">
        <v>18</v>
      </c>
      <c r="H2" s="81"/>
      <c r="I2" s="59" t="s">
        <v>107</v>
      </c>
      <c r="J2" s="80"/>
    </row>
    <row r="3" spans="1:10" x14ac:dyDescent="0.25">
      <c r="A3" s="59" t="s">
        <v>66</v>
      </c>
      <c r="B3" s="80"/>
      <c r="C3" s="12"/>
      <c r="D3" s="12"/>
      <c r="E3" s="59" t="s">
        <v>72</v>
      </c>
      <c r="F3" s="80"/>
      <c r="I3" s="59" t="s">
        <v>101</v>
      </c>
      <c r="J3" s="60"/>
    </row>
    <row r="4" spans="1:10" ht="15.75" thickBot="1" x14ac:dyDescent="0.3">
      <c r="A4" s="59" t="s">
        <v>67</v>
      </c>
      <c r="B4" s="81"/>
      <c r="C4" s="13"/>
      <c r="D4" s="13"/>
      <c r="E4" s="59" t="s">
        <v>67</v>
      </c>
      <c r="F4" s="80"/>
      <c r="I4" s="83" t="s">
        <v>102</v>
      </c>
      <c r="J4" s="82"/>
    </row>
    <row r="5" spans="1:10" ht="15.75" thickBot="1" x14ac:dyDescent="0.3">
      <c r="E5" s="59" t="s">
        <v>89</v>
      </c>
      <c r="F5" s="80"/>
      <c r="I5" s="117" t="s">
        <v>103</v>
      </c>
      <c r="J5" s="118"/>
    </row>
    <row r="6" spans="1:10" x14ac:dyDescent="0.25">
      <c r="E6" s="84" t="s">
        <v>90</v>
      </c>
      <c r="F6" s="85">
        <f>(F4*0.7)-F5</f>
        <v>0</v>
      </c>
    </row>
    <row r="7" spans="1:10" x14ac:dyDescent="0.25">
      <c r="E7" s="59" t="s">
        <v>91</v>
      </c>
      <c r="F7" s="85">
        <f>IF(F6=0,MIN(F2:F3),MIN(F2,F3,F6))</f>
        <v>0</v>
      </c>
    </row>
    <row r="8" spans="1:10" x14ac:dyDescent="0.25">
      <c r="E8" s="47"/>
      <c r="F8" s="47"/>
    </row>
  </sheetData>
  <sheetProtection algorithmName="SHA-512" hashValue="gJPgUJJzlTomLGzhQOtAXNCRI4FNdzo6ktqADgFfHMZ5JWnORNRLWjqPGrdCe/BT5XJILzqdArCbGEuJw0ePVQ==" saltValue="CdepheeHhOSt6R+zP7YN3w==" spinCount="100000" sheet="1" objects="1" scenarios="1" selectLockedCells="1"/>
  <mergeCells count="6">
    <mergeCell ref="I5:J5"/>
    <mergeCell ref="A1:B1"/>
    <mergeCell ref="E1:F1"/>
    <mergeCell ref="C1:D1"/>
    <mergeCell ref="G1:H1"/>
    <mergeCell ref="I1:J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7068627-7099-4A08-B226-84AA3E53976A}">
          <x14:formula1>
            <xm:f>'Data Drop downs'!$G$2:$G$3</xm:f>
          </x14:formula1>
          <xm:sqref>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22D03-244B-4D7F-86B7-9A672E9D5955}">
  <sheetPr>
    <tabColor theme="6" tint="0.39997558519241921"/>
    <pageSetUpPr fitToPage="1"/>
  </sheetPr>
  <dimension ref="A1:I46"/>
  <sheetViews>
    <sheetView topLeftCell="A3" zoomScaleNormal="100" workbookViewId="0">
      <selection activeCell="I4" sqref="I4"/>
    </sheetView>
  </sheetViews>
  <sheetFormatPr defaultRowHeight="15" customHeight="1" x14ac:dyDescent="0.25"/>
  <cols>
    <col min="1" max="1" width="3.42578125" customWidth="1"/>
    <col min="2" max="2" width="19.42578125" customWidth="1"/>
    <col min="3" max="3" width="28.42578125" customWidth="1"/>
    <col min="4" max="4" width="18.140625" customWidth="1"/>
    <col min="5" max="5" width="24.140625" customWidth="1"/>
    <col min="8" max="8" width="24.42578125" customWidth="1"/>
    <col min="9" max="9" width="26.140625" customWidth="1"/>
    <col min="12" max="12" width="25.85546875" customWidth="1"/>
    <col min="13" max="13" width="12.5703125" bestFit="1" customWidth="1"/>
  </cols>
  <sheetData>
    <row r="1" spans="1:9" ht="32.25" customHeight="1" thickBot="1" x14ac:dyDescent="0.45">
      <c r="A1" s="131"/>
      <c r="B1" s="132" t="s">
        <v>0</v>
      </c>
      <c r="C1" s="132"/>
      <c r="D1" s="132"/>
      <c r="E1" s="132"/>
    </row>
    <row r="2" spans="1:9" ht="15" customHeight="1" x14ac:dyDescent="0.25">
      <c r="A2" s="131"/>
      <c r="B2" s="21"/>
      <c r="C2" s="133" t="s">
        <v>85</v>
      </c>
      <c r="D2" s="133"/>
      <c r="E2" s="22" t="s">
        <v>1</v>
      </c>
    </row>
    <row r="3" spans="1:9" ht="15" customHeight="1" thickBot="1" x14ac:dyDescent="0.3">
      <c r="A3" s="131"/>
      <c r="B3" s="23"/>
      <c r="C3" s="134"/>
      <c r="D3" s="134"/>
      <c r="E3" s="74"/>
    </row>
    <row r="4" spans="1:9" ht="15" customHeight="1" x14ac:dyDescent="0.25">
      <c r="A4" s="131"/>
      <c r="B4" s="7" t="s">
        <v>2</v>
      </c>
      <c r="C4" s="86"/>
      <c r="D4" s="15" t="s">
        <v>3</v>
      </c>
      <c r="E4" s="88"/>
      <c r="H4" s="47" t="s">
        <v>44</v>
      </c>
      <c r="I4" s="102">
        <v>0.02</v>
      </c>
    </row>
    <row r="5" spans="1:9" ht="15" customHeight="1" x14ac:dyDescent="0.25">
      <c r="A5" s="131"/>
      <c r="B5" s="8" t="s">
        <v>4</v>
      </c>
      <c r="C5" s="87"/>
      <c r="D5" s="9" t="s">
        <v>5</v>
      </c>
      <c r="E5" s="89"/>
      <c r="H5" s="47" t="s">
        <v>45</v>
      </c>
      <c r="I5" s="103">
        <v>0.7</v>
      </c>
    </row>
    <row r="6" spans="1:9" ht="15" customHeight="1" x14ac:dyDescent="0.25">
      <c r="A6" s="131"/>
      <c r="B6" s="8" t="s">
        <v>6</v>
      </c>
      <c r="C6" s="135"/>
      <c r="D6" s="136"/>
      <c r="E6" s="137"/>
      <c r="H6" s="47" t="s">
        <v>46</v>
      </c>
      <c r="I6" s="103">
        <v>1</v>
      </c>
    </row>
    <row r="7" spans="1:9" ht="15" customHeight="1" x14ac:dyDescent="0.25">
      <c r="A7" s="131"/>
      <c r="B7" s="8" t="s">
        <v>7</v>
      </c>
      <c r="C7" s="138"/>
      <c r="D7" s="138"/>
      <c r="E7" s="139"/>
      <c r="H7" s="47" t="s">
        <v>48</v>
      </c>
      <c r="I7" s="56" t="s">
        <v>43</v>
      </c>
    </row>
    <row r="8" spans="1:9" ht="15" customHeight="1" thickBot="1" x14ac:dyDescent="0.35">
      <c r="A8" s="131"/>
      <c r="B8" s="2"/>
      <c r="C8" s="14" t="s">
        <v>8</v>
      </c>
      <c r="D8" s="90"/>
      <c r="E8" s="4" t="str">
        <f>IF(_xlfn.DAYS(D8,E3)&lt;=7,"","")</f>
        <v/>
      </c>
      <c r="H8" s="47" t="s">
        <v>61</v>
      </c>
      <c r="I8" s="103">
        <v>0</v>
      </c>
    </row>
    <row r="9" spans="1:9" ht="15" customHeight="1" x14ac:dyDescent="0.25">
      <c r="A9" s="131"/>
      <c r="B9" s="7" t="s">
        <v>9</v>
      </c>
      <c r="C9" s="140"/>
      <c r="D9" s="141"/>
      <c r="E9" s="142"/>
      <c r="H9" s="47" t="s">
        <v>62</v>
      </c>
      <c r="I9" s="103">
        <v>0</v>
      </c>
    </row>
    <row r="10" spans="1:9" ht="15" customHeight="1" x14ac:dyDescent="0.25">
      <c r="A10" s="131"/>
      <c r="B10" s="10" t="s">
        <v>10</v>
      </c>
      <c r="C10" s="75"/>
      <c r="D10" s="25" t="s">
        <v>11</v>
      </c>
      <c r="E10" s="76"/>
      <c r="H10" s="47"/>
      <c r="I10" s="47"/>
    </row>
    <row r="11" spans="1:9" ht="15" customHeight="1" x14ac:dyDescent="0.25">
      <c r="A11" s="131"/>
      <c r="B11" s="10" t="s">
        <v>12</v>
      </c>
      <c r="C11" s="75"/>
      <c r="D11" s="25" t="s">
        <v>13</v>
      </c>
      <c r="E11" s="76"/>
      <c r="H11" s="47" t="s">
        <v>50</v>
      </c>
      <c r="I11" s="106">
        <f>D13*I5</f>
        <v>0</v>
      </c>
    </row>
    <row r="12" spans="1:9" ht="15" customHeight="1" x14ac:dyDescent="0.25">
      <c r="A12" s="131"/>
      <c r="B12" s="10" t="s">
        <v>14</v>
      </c>
      <c r="C12" s="75"/>
      <c r="D12" s="25" t="s">
        <v>15</v>
      </c>
      <c r="E12" s="76"/>
      <c r="H12" s="47" t="s">
        <v>51</v>
      </c>
      <c r="I12" s="106">
        <f>D14+D15</f>
        <v>0</v>
      </c>
    </row>
    <row r="13" spans="1:9" ht="15" customHeight="1" x14ac:dyDescent="0.25">
      <c r="A13" s="131"/>
      <c r="B13" s="39"/>
      <c r="C13" s="33" t="s">
        <v>16</v>
      </c>
      <c r="D13" s="91">
        <f>'Data Entry - PP.Rehab.ARV'!B4</f>
        <v>0</v>
      </c>
      <c r="E13" s="41"/>
      <c r="H13" s="47" t="s">
        <v>52</v>
      </c>
      <c r="I13" s="106">
        <f>IF(I11&gt;I12,I12,I11)</f>
        <v>0</v>
      </c>
    </row>
    <row r="14" spans="1:9" ht="15" customHeight="1" x14ac:dyDescent="0.25">
      <c r="A14" s="131"/>
      <c r="B14" s="39"/>
      <c r="C14" s="33" t="s">
        <v>17</v>
      </c>
      <c r="D14" s="91">
        <f>I23+I18</f>
        <v>0</v>
      </c>
      <c r="E14" s="41"/>
      <c r="H14" s="47" t="s">
        <v>53</v>
      </c>
      <c r="I14" s="106">
        <f>D14</f>
        <v>0</v>
      </c>
    </row>
    <row r="15" spans="1:9" ht="15" customHeight="1" x14ac:dyDescent="0.25">
      <c r="A15" s="131"/>
      <c r="B15" s="39"/>
      <c r="C15" s="33" t="s">
        <v>18</v>
      </c>
      <c r="D15" s="91">
        <f>I22</f>
        <v>0</v>
      </c>
      <c r="E15" s="41"/>
      <c r="H15" s="47" t="s">
        <v>54</v>
      </c>
      <c r="I15" s="106">
        <f>IF(D15*I6&lt;I13-I14,D15*I6,I13-I14)</f>
        <v>0</v>
      </c>
    </row>
    <row r="16" spans="1:9" ht="15" customHeight="1" x14ac:dyDescent="0.25">
      <c r="A16" s="131"/>
      <c r="B16" s="39"/>
      <c r="C16" s="33"/>
      <c r="D16" s="92"/>
      <c r="E16" s="41"/>
      <c r="H16" s="47" t="s">
        <v>59</v>
      </c>
      <c r="I16" s="106">
        <f>IF(I15+I14&lt;I13,I15+I14,I13)</f>
        <v>0</v>
      </c>
    </row>
    <row r="17" spans="1:9" ht="15" customHeight="1" x14ac:dyDescent="0.25">
      <c r="A17" s="131"/>
      <c r="B17" s="39"/>
      <c r="C17" s="42" t="s">
        <v>19</v>
      </c>
      <c r="D17" s="93">
        <f>I16</f>
        <v>0</v>
      </c>
      <c r="E17" s="43"/>
      <c r="H17" s="47"/>
      <c r="I17" s="47"/>
    </row>
    <row r="18" spans="1:9" ht="15" customHeight="1" x14ac:dyDescent="0.25">
      <c r="A18" s="131"/>
      <c r="B18" s="39"/>
      <c r="C18" s="42" t="s">
        <v>20</v>
      </c>
      <c r="D18" s="93">
        <f>I15-I19</f>
        <v>0</v>
      </c>
      <c r="E18" s="43"/>
      <c r="H18" s="47" t="s">
        <v>63</v>
      </c>
      <c r="I18" s="105">
        <f>I23*I8</f>
        <v>0</v>
      </c>
    </row>
    <row r="19" spans="1:9" ht="15" customHeight="1" thickBot="1" x14ac:dyDescent="0.3">
      <c r="A19" s="131"/>
      <c r="B19" s="34"/>
      <c r="C19" s="94"/>
      <c r="D19" s="95"/>
      <c r="E19" s="50"/>
      <c r="H19" s="47" t="s">
        <v>62</v>
      </c>
      <c r="I19" s="105">
        <f>D15*I9</f>
        <v>0</v>
      </c>
    </row>
    <row r="20" spans="1:9" ht="15" customHeight="1" thickBot="1" x14ac:dyDescent="0.3">
      <c r="A20" s="131"/>
      <c r="B20" s="143" t="s">
        <v>21</v>
      </c>
      <c r="C20" s="144"/>
      <c r="D20" s="144"/>
      <c r="E20" s="145"/>
      <c r="H20" s="47"/>
      <c r="I20" s="47"/>
    </row>
    <row r="21" spans="1:9" ht="15" customHeight="1" x14ac:dyDescent="0.25">
      <c r="A21" s="131"/>
      <c r="B21" s="39"/>
      <c r="C21" s="33" t="s">
        <v>22</v>
      </c>
      <c r="D21" s="68" t="s">
        <v>23</v>
      </c>
      <c r="E21" s="41"/>
      <c r="H21" s="104" t="s">
        <v>69</v>
      </c>
      <c r="I21" s="104"/>
    </row>
    <row r="22" spans="1:9" ht="15" customHeight="1" x14ac:dyDescent="0.25">
      <c r="A22" s="131"/>
      <c r="B22" s="39"/>
      <c r="C22" s="33" t="s">
        <v>24</v>
      </c>
      <c r="D22" s="68" t="s">
        <v>97</v>
      </c>
      <c r="E22" s="41"/>
      <c r="H22" s="47" t="s">
        <v>68</v>
      </c>
      <c r="I22" s="106">
        <f>'Data Entry - PP.Rehab.ARV'!B2</f>
        <v>0</v>
      </c>
    </row>
    <row r="23" spans="1:9" ht="15" customHeight="1" x14ac:dyDescent="0.25">
      <c r="A23" s="131"/>
      <c r="B23" s="39"/>
      <c r="C23" s="33" t="s">
        <v>25</v>
      </c>
      <c r="D23" s="68" t="s">
        <v>26</v>
      </c>
      <c r="E23" s="41"/>
      <c r="H23" s="47" t="s">
        <v>66</v>
      </c>
      <c r="I23" s="106">
        <f>'Data Entry - PP.Rehab.ARV'!B3</f>
        <v>0</v>
      </c>
    </row>
    <row r="24" spans="1:9" ht="15" customHeight="1" x14ac:dyDescent="0.25">
      <c r="A24" s="131"/>
      <c r="B24" s="39"/>
      <c r="C24" s="33" t="s">
        <v>86</v>
      </c>
      <c r="D24" s="44">
        <f>(D17*0.12)/360</f>
        <v>0</v>
      </c>
      <c r="E24" s="41"/>
      <c r="H24" s="47"/>
      <c r="I24" s="47"/>
    </row>
    <row r="25" spans="1:9" ht="15" customHeight="1" x14ac:dyDescent="0.25">
      <c r="A25" s="131"/>
      <c r="B25" s="39"/>
      <c r="C25" s="33" t="s">
        <v>27</v>
      </c>
      <c r="D25" s="44">
        <f>(D17*0.12)/12</f>
        <v>0</v>
      </c>
      <c r="E25" s="41"/>
      <c r="H25" s="47"/>
      <c r="I25" s="47"/>
    </row>
    <row r="26" spans="1:9" ht="15" customHeight="1" x14ac:dyDescent="0.25">
      <c r="A26" s="131"/>
      <c r="B26" s="39"/>
      <c r="C26" s="33" t="s">
        <v>28</v>
      </c>
      <c r="D26" s="44" t="s">
        <v>29</v>
      </c>
      <c r="E26" s="41"/>
      <c r="H26" s="47"/>
      <c r="I26" s="47"/>
    </row>
    <row r="27" spans="1:9" ht="15" customHeight="1" x14ac:dyDescent="0.25">
      <c r="A27" s="131"/>
      <c r="B27" s="39"/>
      <c r="C27" s="33" t="s">
        <v>30</v>
      </c>
      <c r="D27" s="44" t="s">
        <v>31</v>
      </c>
      <c r="E27" s="41"/>
      <c r="H27" s="47"/>
      <c r="I27" s="47"/>
    </row>
    <row r="28" spans="1:9" ht="15" customHeight="1" x14ac:dyDescent="0.25">
      <c r="A28" s="131"/>
      <c r="B28" s="39"/>
      <c r="C28" s="33" t="s">
        <v>32</v>
      </c>
      <c r="D28" s="146" t="s">
        <v>42</v>
      </c>
      <c r="E28" s="147"/>
      <c r="H28" s="47"/>
      <c r="I28" s="47"/>
    </row>
    <row r="29" spans="1:9" ht="15" customHeight="1" thickBot="1" x14ac:dyDescent="0.3">
      <c r="A29" s="131"/>
      <c r="B29" s="39"/>
      <c r="C29" s="32"/>
      <c r="D29" s="32"/>
      <c r="E29" s="41"/>
      <c r="H29" s="47"/>
      <c r="I29" s="47"/>
    </row>
    <row r="30" spans="1:9" ht="15" customHeight="1" thickBot="1" x14ac:dyDescent="0.3">
      <c r="A30" s="131"/>
      <c r="B30" s="143" t="s">
        <v>70</v>
      </c>
      <c r="C30" s="144"/>
      <c r="D30" s="144"/>
      <c r="E30" s="145"/>
      <c r="H30" s="47"/>
      <c r="I30" s="47"/>
    </row>
    <row r="31" spans="1:9" ht="15" customHeight="1" x14ac:dyDescent="0.25">
      <c r="A31" s="131"/>
      <c r="B31" s="29" t="s">
        <v>33</v>
      </c>
      <c r="C31" s="96">
        <f>$D$17*$I$4</f>
        <v>0</v>
      </c>
      <c r="D31" s="45" t="s">
        <v>64</v>
      </c>
      <c r="E31" s="97">
        <f>I18</f>
        <v>0</v>
      </c>
      <c r="H31" s="47"/>
      <c r="I31" s="47"/>
    </row>
    <row r="32" spans="1:9" ht="15" customHeight="1" x14ac:dyDescent="0.25">
      <c r="A32" s="131"/>
      <c r="B32" s="31" t="s">
        <v>34</v>
      </c>
      <c r="C32" s="98">
        <v>1745</v>
      </c>
      <c r="D32" s="46" t="s">
        <v>65</v>
      </c>
      <c r="E32" s="99">
        <f>D15-D18</f>
        <v>0</v>
      </c>
      <c r="H32" s="47" t="s">
        <v>55</v>
      </c>
      <c r="I32" s="106">
        <f>SUM(C31:C34,E32)+E33+E34</f>
        <v>2594</v>
      </c>
    </row>
    <row r="33" spans="1:9" ht="15" customHeight="1" x14ac:dyDescent="0.25">
      <c r="A33" s="131"/>
      <c r="B33" s="31" t="s">
        <v>47</v>
      </c>
      <c r="C33" s="98">
        <f>IF(I7="Yes", D25*6,0)</f>
        <v>0</v>
      </c>
      <c r="D33" s="46" t="s">
        <v>87</v>
      </c>
      <c r="E33" s="100">
        <v>250</v>
      </c>
      <c r="H33" s="47" t="s">
        <v>56</v>
      </c>
      <c r="I33" s="105">
        <f>D15-D18</f>
        <v>0</v>
      </c>
    </row>
    <row r="34" spans="1:9" ht="15" customHeight="1" x14ac:dyDescent="0.25">
      <c r="A34" s="131"/>
      <c r="B34" s="31" t="s">
        <v>35</v>
      </c>
      <c r="C34" s="101">
        <f>_xlfn.DAYS(EOMONTH($D$8,0),$D$8)*$D$24+$D$24</f>
        <v>0</v>
      </c>
      <c r="D34" s="46" t="s">
        <v>88</v>
      </c>
      <c r="E34" s="100">
        <v>599</v>
      </c>
      <c r="H34" s="47" t="s">
        <v>57</v>
      </c>
      <c r="I34" s="106">
        <f>D17*0.06</f>
        <v>0</v>
      </c>
    </row>
    <row r="35" spans="1:9" ht="15" customHeight="1" thickBot="1" x14ac:dyDescent="0.3">
      <c r="A35" s="131"/>
      <c r="B35" s="34"/>
      <c r="C35" s="35"/>
      <c r="D35" s="49"/>
      <c r="E35" s="50"/>
      <c r="H35" s="47" t="s">
        <v>58</v>
      </c>
      <c r="I35" s="105">
        <f>D14*0.1</f>
        <v>0</v>
      </c>
    </row>
    <row r="36" spans="1:9" ht="15" customHeight="1" thickBot="1" x14ac:dyDescent="0.3">
      <c r="A36" s="131"/>
      <c r="B36" s="148" t="s">
        <v>36</v>
      </c>
      <c r="C36" s="149"/>
      <c r="D36" s="149"/>
      <c r="E36" s="150"/>
      <c r="H36" s="105"/>
      <c r="I36" s="105"/>
    </row>
    <row r="37" spans="1:9" ht="15" customHeight="1" x14ac:dyDescent="0.25">
      <c r="A37" s="131"/>
      <c r="B37" s="39"/>
      <c r="C37" s="51" t="s">
        <v>37</v>
      </c>
      <c r="D37" s="52">
        <f>(D15-D18)+(D17*0.06)+(D14*0.1)+C31+C32+C34+E32+E33+E34</f>
        <v>2594</v>
      </c>
      <c r="E37" s="41"/>
      <c r="H37" s="47"/>
      <c r="I37" s="106">
        <f>SUM(I32:I35)</f>
        <v>2594</v>
      </c>
    </row>
    <row r="38" spans="1:9" ht="15" customHeight="1" thickBot="1" x14ac:dyDescent="0.3">
      <c r="A38" s="131"/>
      <c r="B38" s="39"/>
      <c r="C38" s="51" t="s">
        <v>38</v>
      </c>
      <c r="D38" s="53">
        <f>SUM(C31:C34)+(E32)</f>
        <v>1745</v>
      </c>
      <c r="E38" s="41"/>
      <c r="H38" s="47"/>
      <c r="I38" s="47"/>
    </row>
    <row r="39" spans="1:9" ht="15" customHeight="1" x14ac:dyDescent="0.25">
      <c r="A39" s="131"/>
      <c r="B39" s="121" t="s">
        <v>60</v>
      </c>
      <c r="C39" s="122"/>
      <c r="D39" s="122"/>
      <c r="E39" s="123"/>
    </row>
    <row r="40" spans="1:9" ht="15" customHeight="1" x14ac:dyDescent="0.25">
      <c r="A40" s="131"/>
      <c r="B40" s="124"/>
      <c r="C40" s="125"/>
      <c r="D40" s="125"/>
      <c r="E40" s="126"/>
    </row>
    <row r="41" spans="1:9" ht="15" customHeight="1" thickBot="1" x14ac:dyDescent="0.3">
      <c r="A41" s="131"/>
      <c r="B41" s="127"/>
      <c r="C41" s="128"/>
      <c r="D41" s="128"/>
      <c r="E41" s="129"/>
    </row>
    <row r="42" spans="1:9" ht="15" customHeight="1" x14ac:dyDescent="0.25">
      <c r="A42" s="131"/>
      <c r="B42" s="130"/>
      <c r="C42" s="130"/>
      <c r="D42" s="130"/>
      <c r="E42" s="130"/>
    </row>
    <row r="43" spans="1:9" ht="15" customHeight="1" x14ac:dyDescent="0.25">
      <c r="A43" s="131"/>
      <c r="B43" t="s">
        <v>39</v>
      </c>
    </row>
    <row r="44" spans="1:9" ht="15" customHeight="1" x14ac:dyDescent="0.25">
      <c r="A44" s="131"/>
      <c r="D44" s="3" t="s">
        <v>40</v>
      </c>
      <c r="E44" t="s">
        <v>41</v>
      </c>
    </row>
    <row r="45" spans="1:9" ht="15" customHeight="1" x14ac:dyDescent="0.25">
      <c r="A45" s="131"/>
      <c r="D45" s="3"/>
    </row>
    <row r="46" spans="1:9" ht="15" customHeight="1" x14ac:dyDescent="0.25">
      <c r="A46" s="131"/>
      <c r="D46" s="3"/>
    </row>
  </sheetData>
  <sheetProtection algorithmName="SHA-512" hashValue="OQetr/0k3qYRNz9WiH4wQRTypNSvztCthcYaYYnCwZq4s6pT+47nJBgpyHUqzU9Dbi2Qq19t4ZBp5QklvcergA==" saltValue="NsKz7Z7QImh15Vdom8OgXw==" spinCount="100000" sheet="1" objects="1" scenarios="1" selectLockedCells="1"/>
  <protectedRanges>
    <protectedRange sqref="D13:D15" name="Range1_13"/>
    <protectedRange sqref="C4" name="Range1_10_1"/>
    <protectedRange sqref="E4" name="Range1_14_1"/>
    <protectedRange sqref="C5" name="Range1_1_1"/>
    <protectedRange sqref="C6:C7" name="Range1_2_1"/>
    <protectedRange sqref="D8" name="Range1_5_1"/>
    <protectedRange sqref="C10:C12" name="Range1_8_1"/>
    <protectedRange sqref="E10:E12" name="Range1_12_1"/>
    <protectedRange sqref="C9" name="Range1_7_1"/>
    <protectedRange sqref="E8" name="Range1_4"/>
  </protectedRanges>
  <mergeCells count="12">
    <mergeCell ref="B39:E41"/>
    <mergeCell ref="B42:E42"/>
    <mergeCell ref="A1:A46"/>
    <mergeCell ref="B1:E1"/>
    <mergeCell ref="C2:D3"/>
    <mergeCell ref="C6:E6"/>
    <mergeCell ref="C7:E7"/>
    <mergeCell ref="C9:E9"/>
    <mergeCell ref="B20:E20"/>
    <mergeCell ref="D28:E28"/>
    <mergeCell ref="B30:E30"/>
    <mergeCell ref="B36:E36"/>
  </mergeCell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07312AF-C541-4849-BDB3-4C08E89E82AC}">
          <x14:formula1>
            <xm:f>'Data Drop downs'!$B$1:$B$2</xm:f>
          </x14:formula1>
          <xm:sqref>I7</xm:sqref>
        </x14:dataValidation>
        <x14:dataValidation type="list" allowBlank="1" showInputMessage="1" showErrorMessage="1" xr:uid="{8C20CE88-ECA4-4DFF-BA89-35BFD7EBDDBD}">
          <x14:formula1>
            <xm:f>'Data Drop downs'!$A$2:$A$26</xm:f>
          </x14:formula1>
          <xm:sqref>I4</xm:sqref>
        </x14:dataValidation>
        <x14:dataValidation type="list" allowBlank="1" showInputMessage="1" showErrorMessage="1" xr:uid="{995EE264-4E76-45A7-99F8-1D74BCAA66A6}">
          <x14:formula1>
            <xm:f>'Data Drop downs'!$C$1:$C$5</xm:f>
          </x14:formula1>
          <xm:sqref>I8:I9</xm:sqref>
        </x14:dataValidation>
        <x14:dataValidation type="list" allowBlank="1" showInputMessage="1" showErrorMessage="1" xr:uid="{07DD44AD-36D5-4D4F-A507-69DF29927281}">
          <x14:formula1>
            <xm:f>'Data Drop downs'!$D$1:$D$5</xm:f>
          </x14:formula1>
          <xm:sqref>I5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49D73-33FA-4494-B02B-812E6AE25FD8}">
  <sheetPr>
    <tabColor rgb="FFFFC000"/>
    <pageSetUpPr fitToPage="1"/>
  </sheetPr>
  <dimension ref="A1:K46"/>
  <sheetViews>
    <sheetView zoomScaleNormal="100" workbookViewId="0">
      <selection activeCell="C11" sqref="C11"/>
    </sheetView>
  </sheetViews>
  <sheetFormatPr defaultRowHeight="15" x14ac:dyDescent="0.25"/>
  <cols>
    <col min="1" max="1" width="3.42578125" customWidth="1"/>
    <col min="2" max="2" width="20.5703125" customWidth="1"/>
    <col min="3" max="3" width="28.42578125" customWidth="1"/>
    <col min="4" max="4" width="18.140625" customWidth="1"/>
    <col min="5" max="5" width="24.140625" customWidth="1"/>
    <col min="8" max="8" width="25.85546875" customWidth="1"/>
    <col min="9" max="9" width="12.5703125" bestFit="1" customWidth="1"/>
  </cols>
  <sheetData>
    <row r="1" spans="1:11" ht="31.9" customHeight="1" thickBot="1" x14ac:dyDescent="0.45">
      <c r="A1" s="131"/>
      <c r="B1" s="132" t="s">
        <v>0</v>
      </c>
      <c r="C1" s="132"/>
      <c r="D1" s="132"/>
      <c r="E1" s="132"/>
    </row>
    <row r="2" spans="1:11" ht="15" customHeight="1" x14ac:dyDescent="0.25">
      <c r="A2" s="131"/>
      <c r="B2" s="21"/>
      <c r="C2" s="133" t="s">
        <v>85</v>
      </c>
      <c r="D2" s="133"/>
      <c r="E2" s="22" t="s">
        <v>1</v>
      </c>
    </row>
    <row r="3" spans="1:11" ht="15" customHeight="1" thickBot="1" x14ac:dyDescent="0.3">
      <c r="A3" s="131"/>
      <c r="B3" s="23"/>
      <c r="C3" s="134"/>
      <c r="D3" s="134"/>
      <c r="E3" s="24"/>
      <c r="H3" s="120" t="s">
        <v>83</v>
      </c>
      <c r="I3" s="120"/>
      <c r="J3" s="120"/>
      <c r="K3" s="120"/>
    </row>
    <row r="4" spans="1:11" ht="15" customHeight="1" x14ac:dyDescent="0.25">
      <c r="A4" s="131"/>
      <c r="B4" s="7" t="s">
        <v>2</v>
      </c>
      <c r="C4" s="69"/>
      <c r="D4" s="15" t="s">
        <v>3</v>
      </c>
      <c r="E4" s="71"/>
      <c r="H4" s="11" t="s">
        <v>44</v>
      </c>
      <c r="I4" s="57">
        <v>0.01</v>
      </c>
      <c r="J4" s="157" t="s">
        <v>79</v>
      </c>
      <c r="K4" s="157"/>
    </row>
    <row r="5" spans="1:11" ht="15" customHeight="1" x14ac:dyDescent="0.25">
      <c r="A5" s="131"/>
      <c r="B5" s="8" t="s">
        <v>4</v>
      </c>
      <c r="C5" s="70"/>
      <c r="D5" s="9" t="s">
        <v>5</v>
      </c>
      <c r="E5" s="72"/>
      <c r="H5" s="11" t="s">
        <v>75</v>
      </c>
      <c r="I5" s="107">
        <v>2</v>
      </c>
      <c r="J5" s="157" t="s">
        <v>81</v>
      </c>
      <c r="K5" s="157"/>
    </row>
    <row r="6" spans="1:11" ht="15" customHeight="1" x14ac:dyDescent="0.25">
      <c r="A6" s="131"/>
      <c r="B6" s="8" t="s">
        <v>6</v>
      </c>
      <c r="C6" s="151"/>
      <c r="D6" s="152"/>
      <c r="E6" s="153"/>
      <c r="H6" s="11" t="s">
        <v>48</v>
      </c>
      <c r="I6" s="60" t="s">
        <v>43</v>
      </c>
      <c r="J6" s="157" t="s">
        <v>80</v>
      </c>
      <c r="K6" s="157"/>
    </row>
    <row r="7" spans="1:11" ht="15" customHeight="1" x14ac:dyDescent="0.25">
      <c r="A7" s="131"/>
      <c r="B7" s="8" t="s">
        <v>7</v>
      </c>
      <c r="C7" s="154"/>
      <c r="D7" s="154"/>
      <c r="E7" s="155"/>
      <c r="H7" s="11" t="s">
        <v>77</v>
      </c>
      <c r="I7" s="57">
        <v>0.12</v>
      </c>
      <c r="J7" s="157" t="s">
        <v>78</v>
      </c>
      <c r="K7" s="157"/>
    </row>
    <row r="8" spans="1:11" ht="15" customHeight="1" thickBot="1" x14ac:dyDescent="0.3">
      <c r="A8" s="131"/>
      <c r="B8" s="19"/>
      <c r="C8" s="14" t="s">
        <v>8</v>
      </c>
      <c r="D8" s="73"/>
      <c r="E8" s="20" t="str">
        <f>IF(_xlfn.DAYS(D8,E3)&lt;=7,"","")</f>
        <v/>
      </c>
      <c r="H8" s="156" t="s">
        <v>82</v>
      </c>
      <c r="I8" s="156"/>
      <c r="J8" s="156"/>
      <c r="K8" s="156"/>
    </row>
    <row r="9" spans="1:11" ht="15" customHeight="1" x14ac:dyDescent="0.25">
      <c r="A9" s="131"/>
      <c r="B9" s="109" t="s">
        <v>9</v>
      </c>
      <c r="C9" s="140"/>
      <c r="D9" s="141"/>
      <c r="E9" s="142"/>
      <c r="I9" s="1"/>
    </row>
    <row r="10" spans="1:11" ht="15" customHeight="1" x14ac:dyDescent="0.25">
      <c r="A10" s="131"/>
      <c r="B10" s="10" t="s">
        <v>10</v>
      </c>
      <c r="C10" s="75"/>
      <c r="D10" s="25" t="s">
        <v>11</v>
      </c>
      <c r="E10" s="76"/>
      <c r="I10" s="5"/>
    </row>
    <row r="11" spans="1:11" ht="15" customHeight="1" x14ac:dyDescent="0.25">
      <c r="A11" s="131"/>
      <c r="B11" s="10" t="s">
        <v>12</v>
      </c>
      <c r="C11" s="75"/>
      <c r="D11" s="25" t="s">
        <v>13</v>
      </c>
      <c r="E11" s="76"/>
      <c r="I11" s="1"/>
    </row>
    <row r="12" spans="1:11" ht="15" customHeight="1" x14ac:dyDescent="0.25">
      <c r="A12" s="131"/>
      <c r="B12" s="10" t="s">
        <v>14</v>
      </c>
      <c r="C12" s="75"/>
      <c r="D12" s="25" t="s">
        <v>15</v>
      </c>
      <c r="E12" s="76"/>
      <c r="I12" s="5"/>
    </row>
    <row r="13" spans="1:11" ht="15" customHeight="1" x14ac:dyDescent="0.25">
      <c r="A13" s="131"/>
      <c r="B13" s="39"/>
      <c r="C13" s="33" t="s">
        <v>18</v>
      </c>
      <c r="D13" s="108">
        <f>'Data Entry - PP.Rehab.ARV'!F2</f>
        <v>0</v>
      </c>
      <c r="E13" s="41"/>
    </row>
    <row r="14" spans="1:11" ht="15" customHeight="1" x14ac:dyDescent="0.25">
      <c r="A14" s="131"/>
      <c r="B14" s="39"/>
      <c r="C14" s="33" t="s">
        <v>92</v>
      </c>
      <c r="D14" s="108">
        <f>'Data Entry - PP.Rehab.ARV'!F7</f>
        <v>0</v>
      </c>
      <c r="E14" s="41"/>
    </row>
    <row r="15" spans="1:11" ht="15" customHeight="1" x14ac:dyDescent="0.25">
      <c r="A15" s="131"/>
      <c r="B15" s="39"/>
      <c r="C15" s="33" t="s">
        <v>62</v>
      </c>
      <c r="D15" s="108">
        <f>IF($D$14&gt;$D$13,0,$D$13-$D$14)</f>
        <v>0</v>
      </c>
      <c r="E15" s="41"/>
    </row>
    <row r="16" spans="1:11" ht="15" customHeight="1" x14ac:dyDescent="0.25">
      <c r="A16" s="131"/>
      <c r="B16" s="39"/>
      <c r="C16" s="33"/>
      <c r="D16" s="92"/>
      <c r="E16" s="41"/>
    </row>
    <row r="17" spans="1:5" ht="15" customHeight="1" x14ac:dyDescent="0.25">
      <c r="A17" s="131"/>
      <c r="B17" s="39"/>
      <c r="C17" s="42" t="s">
        <v>74</v>
      </c>
      <c r="D17" s="93">
        <f>IF(D13&lt;D14,D13,D14)</f>
        <v>0</v>
      </c>
      <c r="E17" s="43"/>
    </row>
    <row r="18" spans="1:5" ht="15" customHeight="1" x14ac:dyDescent="0.25">
      <c r="A18" s="131"/>
      <c r="B18" s="39"/>
      <c r="C18" s="42" t="s">
        <v>20</v>
      </c>
      <c r="D18" s="93">
        <f>I12</f>
        <v>0</v>
      </c>
      <c r="E18" s="43"/>
    </row>
    <row r="19" spans="1:5" ht="15" customHeight="1" thickBot="1" x14ac:dyDescent="0.3">
      <c r="A19" s="131"/>
      <c r="B19" s="34"/>
      <c r="C19" s="94"/>
      <c r="D19" s="95"/>
      <c r="E19" s="50"/>
    </row>
    <row r="20" spans="1:5" ht="15" customHeight="1" thickBot="1" x14ac:dyDescent="0.3">
      <c r="A20" s="131"/>
      <c r="B20" s="143" t="s">
        <v>21</v>
      </c>
      <c r="C20" s="144"/>
      <c r="D20" s="144"/>
      <c r="E20" s="145"/>
    </row>
    <row r="21" spans="1:5" ht="15" customHeight="1" x14ac:dyDescent="0.25">
      <c r="A21" s="131"/>
      <c r="B21" s="39"/>
      <c r="C21" s="33" t="s">
        <v>22</v>
      </c>
      <c r="D21" s="68" t="s">
        <v>23</v>
      </c>
      <c r="E21" s="41"/>
    </row>
    <row r="22" spans="1:5" ht="15" customHeight="1" x14ac:dyDescent="0.25">
      <c r="A22" s="131"/>
      <c r="B22" s="39"/>
      <c r="C22" s="33" t="s">
        <v>106</v>
      </c>
      <c r="D22" s="68">
        <f>$I$5</f>
        <v>2</v>
      </c>
      <c r="E22" s="41"/>
    </row>
    <row r="23" spans="1:5" ht="15" customHeight="1" x14ac:dyDescent="0.25">
      <c r="A23" s="131"/>
      <c r="B23" s="39"/>
      <c r="C23" s="33" t="s">
        <v>25</v>
      </c>
      <c r="D23" s="110">
        <f>I7</f>
        <v>0.12</v>
      </c>
      <c r="E23" s="111"/>
    </row>
    <row r="24" spans="1:5" ht="15" customHeight="1" x14ac:dyDescent="0.25">
      <c r="A24" s="131"/>
      <c r="B24" s="39"/>
      <c r="C24" s="33" t="s">
        <v>86</v>
      </c>
      <c r="D24" s="44">
        <f>(D17*0.12)/360</f>
        <v>0</v>
      </c>
      <c r="E24" s="41"/>
    </row>
    <row r="25" spans="1:5" ht="15" customHeight="1" x14ac:dyDescent="0.25">
      <c r="A25" s="131"/>
      <c r="B25" s="39"/>
      <c r="C25" s="33" t="s">
        <v>27</v>
      </c>
      <c r="D25" s="44">
        <f>($D$17*$D$23)/12</f>
        <v>0</v>
      </c>
      <c r="E25" s="41"/>
    </row>
    <row r="26" spans="1:5" ht="15" customHeight="1" x14ac:dyDescent="0.25">
      <c r="A26" s="131"/>
      <c r="B26" s="39"/>
      <c r="C26" s="33" t="s">
        <v>28</v>
      </c>
      <c r="D26" s="44" t="s">
        <v>29</v>
      </c>
      <c r="E26" s="41"/>
    </row>
    <row r="27" spans="1:5" ht="15" customHeight="1" x14ac:dyDescent="0.25">
      <c r="A27" s="131"/>
      <c r="B27" s="39"/>
      <c r="C27" s="33" t="s">
        <v>30</v>
      </c>
      <c r="D27" s="44" t="s">
        <v>31</v>
      </c>
      <c r="E27" s="41"/>
    </row>
    <row r="28" spans="1:5" ht="15" customHeight="1" x14ac:dyDescent="0.25">
      <c r="A28" s="131"/>
      <c r="B28" s="39"/>
      <c r="C28" s="33" t="s">
        <v>32</v>
      </c>
      <c r="D28" s="146" t="s">
        <v>84</v>
      </c>
      <c r="E28" s="147"/>
    </row>
    <row r="29" spans="1:5" ht="15" customHeight="1" thickBot="1" x14ac:dyDescent="0.3">
      <c r="A29" s="131"/>
      <c r="B29" s="39"/>
      <c r="C29" s="32"/>
      <c r="D29" s="32"/>
      <c r="E29" s="41"/>
    </row>
    <row r="30" spans="1:5" ht="15" customHeight="1" thickBot="1" x14ac:dyDescent="0.3">
      <c r="A30" s="131"/>
      <c r="B30" s="143" t="s">
        <v>76</v>
      </c>
      <c r="C30" s="144"/>
      <c r="D30" s="144"/>
      <c r="E30" s="145"/>
    </row>
    <row r="31" spans="1:5" ht="15" customHeight="1" x14ac:dyDescent="0.25">
      <c r="A31" s="131"/>
      <c r="B31" s="112" t="s">
        <v>33</v>
      </c>
      <c r="C31" s="64">
        <f>$D$17*$I$4</f>
        <v>0</v>
      </c>
      <c r="D31" s="46" t="s">
        <v>65</v>
      </c>
      <c r="E31" s="113">
        <f>D15</f>
        <v>0</v>
      </c>
    </row>
    <row r="32" spans="1:5" ht="15" customHeight="1" x14ac:dyDescent="0.25">
      <c r="A32" s="131"/>
      <c r="B32" s="112" t="s">
        <v>34</v>
      </c>
      <c r="C32" s="64">
        <v>1745</v>
      </c>
      <c r="D32" s="46" t="s">
        <v>47</v>
      </c>
      <c r="E32" s="67">
        <f>IF($I$6="Yes",$D$25*$I$5,0)</f>
        <v>0</v>
      </c>
    </row>
    <row r="33" spans="1:5" ht="15" customHeight="1" x14ac:dyDescent="0.25">
      <c r="A33" s="131"/>
      <c r="B33" s="112" t="s">
        <v>73</v>
      </c>
      <c r="C33" s="65">
        <f>_xlfn.DAYS(EOMONTH($D$8,0),$D$8)*$D$24+$D$24</f>
        <v>0</v>
      </c>
      <c r="D33" s="114" t="s">
        <v>93</v>
      </c>
      <c r="E33" s="67">
        <v>599</v>
      </c>
    </row>
    <row r="34" spans="1:5" ht="15" customHeight="1" thickBot="1" x14ac:dyDescent="0.3">
      <c r="A34" s="131"/>
      <c r="B34" s="112" t="s">
        <v>87</v>
      </c>
      <c r="C34" s="65">
        <v>250</v>
      </c>
      <c r="D34" s="114"/>
      <c r="E34" s="67"/>
    </row>
    <row r="35" spans="1:5" ht="15" customHeight="1" thickBot="1" x14ac:dyDescent="0.3">
      <c r="A35" s="131"/>
      <c r="B35" s="148" t="s">
        <v>36</v>
      </c>
      <c r="C35" s="149"/>
      <c r="D35" s="149"/>
      <c r="E35" s="150"/>
    </row>
    <row r="36" spans="1:5" ht="15" customHeight="1" x14ac:dyDescent="0.25">
      <c r="A36" s="131"/>
      <c r="B36" s="39"/>
      <c r="C36" s="115" t="s">
        <v>37</v>
      </c>
      <c r="D36" s="116">
        <f>SUM($C$31:$C$33,$E$31,$E$33)+($D$25*$I$5)+C34</f>
        <v>2594</v>
      </c>
      <c r="E36" s="41"/>
    </row>
    <row r="37" spans="1:5" ht="15" customHeight="1" thickBot="1" x14ac:dyDescent="0.3">
      <c r="A37" s="131"/>
      <c r="B37" s="39"/>
      <c r="C37" s="115" t="s">
        <v>38</v>
      </c>
      <c r="D37" s="116">
        <f>(SUM($C$31:$C$33,$E$32,$E$31))+E33+C34</f>
        <v>2594</v>
      </c>
      <c r="E37" s="41"/>
    </row>
    <row r="38" spans="1:5" ht="15" customHeight="1" x14ac:dyDescent="0.25">
      <c r="A38" s="131"/>
      <c r="B38" s="121" t="s">
        <v>60</v>
      </c>
      <c r="C38" s="122"/>
      <c r="D38" s="122"/>
      <c r="E38" s="123"/>
    </row>
    <row r="39" spans="1:5" ht="15" customHeight="1" x14ac:dyDescent="0.25">
      <c r="A39" s="131"/>
      <c r="B39" s="124"/>
      <c r="C39" s="125"/>
      <c r="D39" s="125"/>
      <c r="E39" s="126"/>
    </row>
    <row r="40" spans="1:5" ht="15" customHeight="1" thickBot="1" x14ac:dyDescent="0.3">
      <c r="A40" s="131"/>
      <c r="B40" s="127"/>
      <c r="C40" s="128"/>
      <c r="D40" s="128"/>
      <c r="E40" s="129"/>
    </row>
    <row r="41" spans="1:5" ht="15" customHeight="1" x14ac:dyDescent="0.25">
      <c r="A41" s="131"/>
      <c r="B41" s="130"/>
      <c r="C41" s="130"/>
      <c r="D41" s="130"/>
      <c r="E41" s="130"/>
    </row>
    <row r="42" spans="1:5" ht="15" customHeight="1" x14ac:dyDescent="0.25">
      <c r="A42" s="131"/>
      <c r="B42" t="s">
        <v>39</v>
      </c>
    </row>
    <row r="43" spans="1:5" ht="15" customHeight="1" x14ac:dyDescent="0.25">
      <c r="D43" s="3" t="s">
        <v>40</v>
      </c>
      <c r="E43" t="s">
        <v>41</v>
      </c>
    </row>
    <row r="44" spans="1:5" ht="15" customHeight="1" x14ac:dyDescent="0.25">
      <c r="D44" s="3"/>
    </row>
    <row r="45" spans="1:5" ht="15" customHeight="1" x14ac:dyDescent="0.25">
      <c r="D45" s="3"/>
    </row>
    <row r="46" spans="1:5" ht="15" customHeight="1" x14ac:dyDescent="0.25"/>
  </sheetData>
  <sheetProtection algorithmName="SHA-512" hashValue="4E123EeDeFLP6P9MQnZGR69omGq1AhjPsEwsy2okXLIiPZgr3YW7wNbmYgBktDnm8C+3tpdDy2grfbICAwXH4g==" saltValue="nMFXwTLaf8IXR/itPOGKAQ==" spinCount="100000" sheet="1" objects="1" scenarios="1" selectLockedCells="1"/>
  <protectedRanges>
    <protectedRange sqref="C4" name="Range1_10"/>
    <protectedRange sqref="E4" name="Range1_14"/>
    <protectedRange sqref="C5" name="Range1_1"/>
    <protectedRange sqref="C6:C7" name="Range1_2"/>
    <protectedRange sqref="D8" name="Range1_5"/>
    <protectedRange sqref="C10:C12" name="Range1_8"/>
    <protectedRange sqref="E10:E12" name="Range1_12"/>
    <protectedRange sqref="D13:D15" name="Range1_13"/>
    <protectedRange sqref="C9" name="Range1_7"/>
    <protectedRange sqref="E8" name="Range1"/>
  </protectedRanges>
  <mergeCells count="18">
    <mergeCell ref="H8:K8"/>
    <mergeCell ref="H3:K3"/>
    <mergeCell ref="J7:K7"/>
    <mergeCell ref="J6:K6"/>
    <mergeCell ref="J5:K5"/>
    <mergeCell ref="J4:K4"/>
    <mergeCell ref="A1:A42"/>
    <mergeCell ref="B20:E20"/>
    <mergeCell ref="B30:E30"/>
    <mergeCell ref="B38:E40"/>
    <mergeCell ref="B41:E41"/>
    <mergeCell ref="B1:E1"/>
    <mergeCell ref="C6:E6"/>
    <mergeCell ref="C7:E7"/>
    <mergeCell ref="C2:D3"/>
    <mergeCell ref="C9:E9"/>
    <mergeCell ref="D28:E28"/>
    <mergeCell ref="B35:E35"/>
  </mergeCell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CD58AD4-E8D7-4EED-8D2F-769D6EC96575}">
          <x14:formula1>
            <xm:f>'Data Drop downs'!$A$1:$A$14</xm:f>
          </x14:formula1>
          <xm:sqref>I4</xm:sqref>
        </x14:dataValidation>
        <x14:dataValidation type="list" allowBlank="1" showInputMessage="1" showErrorMessage="1" xr:uid="{2A2B5303-EAD9-4BFE-BF89-E43A6427A494}">
          <x14:formula1>
            <xm:f>'Data Drop downs'!$B$1:$B$2</xm:f>
          </x14:formula1>
          <xm:sqref>I6</xm:sqref>
        </x14:dataValidation>
        <x14:dataValidation type="list" allowBlank="1" showInputMessage="1" showErrorMessage="1" xr:uid="{7F5F4F7D-496A-4C50-B3BD-EAB8A7EA447E}">
          <x14:formula1>
            <xm:f>'Data Drop downs'!$E$1:$E$2</xm:f>
          </x14:formula1>
          <xm:sqref>I5</xm:sqref>
        </x14:dataValidation>
        <x14:dataValidation type="list" allowBlank="1" showInputMessage="1" showErrorMessage="1" xr:uid="{17E930CB-E3C5-4112-8C87-205B354B5599}">
          <x14:formula1>
            <xm:f>'Data Drop downs'!$F$1:$F$3</xm:f>
          </x14:formula1>
          <xm:sqref>I7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CD042-AFD6-407D-8A6E-C484A9AFB998}">
  <sheetPr>
    <tabColor theme="8" tint="0.39997558519241921"/>
    <pageSetUpPr fitToPage="1"/>
  </sheetPr>
  <dimension ref="A1:I46"/>
  <sheetViews>
    <sheetView topLeftCell="A8" zoomScaleNormal="100" workbookViewId="0">
      <selection activeCell="I4" sqref="I4:I6"/>
    </sheetView>
  </sheetViews>
  <sheetFormatPr defaultRowHeight="15" customHeight="1" x14ac:dyDescent="0.25"/>
  <cols>
    <col min="1" max="1" width="3.42578125" customWidth="1"/>
    <col min="2" max="2" width="19.42578125" style="47" customWidth="1"/>
    <col min="3" max="3" width="28.42578125" style="47" customWidth="1"/>
    <col min="4" max="4" width="18.140625" style="47" customWidth="1"/>
    <col min="5" max="5" width="24.140625" style="47" customWidth="1"/>
    <col min="8" max="8" width="24.42578125" customWidth="1"/>
    <col min="9" max="9" width="26.140625" customWidth="1"/>
    <col min="12" max="12" width="25.85546875" customWidth="1"/>
    <col min="13" max="13" width="12.5703125" bestFit="1" customWidth="1"/>
  </cols>
  <sheetData>
    <row r="1" spans="1:9" ht="32.25" customHeight="1" thickBot="1" x14ac:dyDescent="0.45">
      <c r="A1" s="131"/>
      <c r="B1" s="159" t="s">
        <v>0</v>
      </c>
      <c r="C1" s="159"/>
      <c r="D1" s="159"/>
      <c r="E1" s="159"/>
    </row>
    <row r="2" spans="1:9" ht="15" customHeight="1" x14ac:dyDescent="0.25">
      <c r="A2" s="131"/>
      <c r="B2" s="26"/>
      <c r="C2" s="160" t="s">
        <v>85</v>
      </c>
      <c r="D2" s="160"/>
      <c r="E2" s="27" t="s">
        <v>1</v>
      </c>
    </row>
    <row r="3" spans="1:9" ht="15" customHeight="1" thickBot="1" x14ac:dyDescent="0.3">
      <c r="A3" s="131"/>
      <c r="B3" s="28"/>
      <c r="C3" s="161"/>
      <c r="D3" s="161"/>
      <c r="E3" s="74"/>
    </row>
    <row r="4" spans="1:9" ht="15" customHeight="1" x14ac:dyDescent="0.25">
      <c r="A4" s="131"/>
      <c r="B4" s="29" t="s">
        <v>2</v>
      </c>
      <c r="C4" s="69"/>
      <c r="D4" s="30" t="s">
        <v>3</v>
      </c>
      <c r="E4" s="71"/>
      <c r="H4" s="11" t="s">
        <v>44</v>
      </c>
      <c r="I4" s="57">
        <v>0.02</v>
      </c>
    </row>
    <row r="5" spans="1:9" ht="15" customHeight="1" x14ac:dyDescent="0.25">
      <c r="A5" s="131"/>
      <c r="B5" s="31" t="s">
        <v>4</v>
      </c>
      <c r="C5" s="70"/>
      <c r="D5" s="33" t="s">
        <v>5</v>
      </c>
      <c r="E5" s="72"/>
      <c r="H5" s="11" t="s">
        <v>45</v>
      </c>
      <c r="I5" s="58">
        <v>0.7</v>
      </c>
    </row>
    <row r="6" spans="1:9" ht="15" customHeight="1" x14ac:dyDescent="0.25">
      <c r="A6" s="131"/>
      <c r="B6" s="31" t="s">
        <v>6</v>
      </c>
      <c r="C6" s="151"/>
      <c r="D6" s="152"/>
      <c r="E6" s="153"/>
      <c r="H6" s="59" t="s">
        <v>48</v>
      </c>
      <c r="I6" s="60" t="s">
        <v>43</v>
      </c>
    </row>
    <row r="7" spans="1:9" ht="15" customHeight="1" x14ac:dyDescent="0.25">
      <c r="A7" s="131"/>
      <c r="B7" s="31" t="s">
        <v>7</v>
      </c>
      <c r="C7" s="154"/>
      <c r="D7" s="154"/>
      <c r="E7" s="155"/>
      <c r="H7" s="47"/>
      <c r="I7" s="55"/>
    </row>
    <row r="8" spans="1:9" ht="15" customHeight="1" thickBot="1" x14ac:dyDescent="0.3">
      <c r="A8" s="131"/>
      <c r="B8" s="34"/>
      <c r="C8" s="35" t="s">
        <v>8</v>
      </c>
      <c r="D8" s="73"/>
      <c r="E8" s="36" t="str">
        <f>IF(_xlfn.DAYS(D8,E3)&lt;=7,"","")</f>
        <v/>
      </c>
      <c r="H8" s="47"/>
      <c r="I8" s="55"/>
    </row>
    <row r="9" spans="1:9" ht="15" customHeight="1" x14ac:dyDescent="0.25">
      <c r="A9" s="131"/>
      <c r="B9" s="29" t="s">
        <v>9</v>
      </c>
      <c r="C9" s="140"/>
      <c r="D9" s="141"/>
      <c r="E9" s="142"/>
    </row>
    <row r="10" spans="1:9" ht="15" customHeight="1" x14ac:dyDescent="0.25">
      <c r="A10" s="131"/>
      <c r="B10" s="37" t="s">
        <v>10</v>
      </c>
      <c r="C10" s="75"/>
      <c r="D10" s="38" t="s">
        <v>11</v>
      </c>
      <c r="E10" s="76"/>
      <c r="I10" s="5"/>
    </row>
    <row r="11" spans="1:9" ht="15" customHeight="1" x14ac:dyDescent="0.25">
      <c r="A11" s="131"/>
      <c r="B11" s="37" t="s">
        <v>12</v>
      </c>
      <c r="C11" s="75"/>
      <c r="D11" s="38" t="s">
        <v>13</v>
      </c>
      <c r="E11" s="76"/>
      <c r="I11" s="5"/>
    </row>
    <row r="12" spans="1:9" ht="15" customHeight="1" x14ac:dyDescent="0.25">
      <c r="A12" s="131"/>
      <c r="B12" s="37" t="s">
        <v>14</v>
      </c>
      <c r="C12" s="75"/>
      <c r="D12" s="38" t="s">
        <v>15</v>
      </c>
      <c r="E12" s="76"/>
      <c r="I12" s="5"/>
    </row>
    <row r="13" spans="1:9" ht="15" customHeight="1" x14ac:dyDescent="0.25">
      <c r="A13" s="131"/>
      <c r="B13" s="39"/>
      <c r="C13" s="33" t="s">
        <v>18</v>
      </c>
      <c r="D13" s="40">
        <f>'Data Entry - PP.Rehab.ARV'!H2</f>
        <v>0</v>
      </c>
      <c r="E13" s="41"/>
      <c r="I13" s="5"/>
    </row>
    <row r="14" spans="1:9" ht="15" customHeight="1" x14ac:dyDescent="0.25">
      <c r="A14" s="131"/>
      <c r="B14" s="39"/>
      <c r="C14" s="33"/>
      <c r="D14" s="18"/>
      <c r="E14" s="41"/>
      <c r="I14" s="5"/>
    </row>
    <row r="15" spans="1:9" ht="15" customHeight="1" x14ac:dyDescent="0.25">
      <c r="A15" s="131"/>
      <c r="B15" s="39"/>
      <c r="C15" s="33"/>
      <c r="D15" s="18"/>
      <c r="E15" s="41"/>
      <c r="I15" s="5"/>
    </row>
    <row r="16" spans="1:9" ht="15" customHeight="1" thickBot="1" x14ac:dyDescent="0.3">
      <c r="A16" s="131"/>
      <c r="B16" s="39"/>
      <c r="C16" s="42" t="s">
        <v>19</v>
      </c>
      <c r="D16" s="17">
        <f>D13*I5</f>
        <v>0</v>
      </c>
      <c r="E16" s="43"/>
    </row>
    <row r="17" spans="1:9" ht="15" customHeight="1" thickBot="1" x14ac:dyDescent="0.3">
      <c r="A17" s="131"/>
      <c r="B17" s="143" t="s">
        <v>21</v>
      </c>
      <c r="C17" s="144"/>
      <c r="D17" s="144"/>
      <c r="E17" s="145"/>
      <c r="I17" s="1"/>
    </row>
    <row r="18" spans="1:9" ht="15" customHeight="1" x14ac:dyDescent="0.25">
      <c r="A18" s="131"/>
      <c r="B18" s="39"/>
      <c r="C18" s="33" t="s">
        <v>22</v>
      </c>
      <c r="D18" s="68" t="s">
        <v>23</v>
      </c>
      <c r="E18" s="41"/>
      <c r="I18" s="1"/>
    </row>
    <row r="19" spans="1:9" ht="15" customHeight="1" x14ac:dyDescent="0.25">
      <c r="A19" s="131"/>
      <c r="B19" s="39"/>
      <c r="C19" s="33" t="s">
        <v>24</v>
      </c>
      <c r="D19" s="68" t="s">
        <v>97</v>
      </c>
      <c r="E19" s="41"/>
    </row>
    <row r="20" spans="1:9" ht="15" customHeight="1" x14ac:dyDescent="0.25">
      <c r="A20" s="131"/>
      <c r="B20" s="39"/>
      <c r="C20" s="33" t="s">
        <v>25</v>
      </c>
      <c r="D20" s="68" t="s">
        <v>26</v>
      </c>
      <c r="E20" s="41"/>
      <c r="H20" s="6"/>
      <c r="I20" s="6"/>
    </row>
    <row r="21" spans="1:9" ht="15" customHeight="1" x14ac:dyDescent="0.25">
      <c r="A21" s="131"/>
      <c r="B21" s="39"/>
      <c r="C21" s="33" t="s">
        <v>86</v>
      </c>
      <c r="D21" s="44">
        <f>(D16*0.12)/360</f>
        <v>0</v>
      </c>
      <c r="E21" s="41"/>
      <c r="I21" s="5"/>
    </row>
    <row r="22" spans="1:9" ht="15" customHeight="1" x14ac:dyDescent="0.25">
      <c r="A22" s="131"/>
      <c r="B22" s="39"/>
      <c r="C22" s="33" t="s">
        <v>27</v>
      </c>
      <c r="D22" s="44">
        <f>(D16*0.12)/12</f>
        <v>0</v>
      </c>
      <c r="E22" s="41"/>
      <c r="I22" s="5"/>
    </row>
    <row r="23" spans="1:9" ht="15" customHeight="1" x14ac:dyDescent="0.25">
      <c r="A23" s="131"/>
      <c r="B23" s="39"/>
      <c r="C23" s="33" t="s">
        <v>28</v>
      </c>
      <c r="D23" s="68" t="s">
        <v>29</v>
      </c>
      <c r="E23" s="41"/>
    </row>
    <row r="24" spans="1:9" ht="15" customHeight="1" x14ac:dyDescent="0.25">
      <c r="A24" s="131"/>
      <c r="B24" s="39"/>
      <c r="C24" s="33" t="s">
        <v>30</v>
      </c>
      <c r="D24" s="68" t="s">
        <v>31</v>
      </c>
      <c r="E24" s="41"/>
    </row>
    <row r="25" spans="1:9" ht="15" customHeight="1" x14ac:dyDescent="0.25">
      <c r="A25" s="131"/>
      <c r="B25" s="39"/>
      <c r="C25" s="33" t="s">
        <v>32</v>
      </c>
      <c r="D25" s="146" t="s">
        <v>42</v>
      </c>
      <c r="E25" s="147"/>
    </row>
    <row r="26" spans="1:9" ht="15" customHeight="1" thickBot="1" x14ac:dyDescent="0.3">
      <c r="A26" s="131"/>
      <c r="B26" s="39"/>
      <c r="C26" s="32"/>
      <c r="D26" s="32"/>
      <c r="E26" s="41"/>
    </row>
    <row r="27" spans="1:9" ht="15" customHeight="1" thickBot="1" x14ac:dyDescent="0.3">
      <c r="A27" s="131"/>
      <c r="B27" s="143" t="s">
        <v>70</v>
      </c>
      <c r="C27" s="144"/>
      <c r="D27" s="144"/>
      <c r="E27" s="145"/>
    </row>
    <row r="28" spans="1:9" ht="15" customHeight="1" x14ac:dyDescent="0.25">
      <c r="A28" s="131"/>
      <c r="B28" s="29" t="s">
        <v>33</v>
      </c>
      <c r="C28" s="63">
        <f>$D$16*$I$4</f>
        <v>0</v>
      </c>
      <c r="D28" s="45" t="s">
        <v>65</v>
      </c>
      <c r="E28" s="66">
        <f>D13-D16</f>
        <v>0</v>
      </c>
    </row>
    <row r="29" spans="1:9" ht="15" customHeight="1" x14ac:dyDescent="0.25">
      <c r="A29" s="131"/>
      <c r="B29" s="31" t="s">
        <v>34</v>
      </c>
      <c r="C29" s="64">
        <v>1745</v>
      </c>
      <c r="D29" s="46" t="s">
        <v>87</v>
      </c>
      <c r="E29" s="67">
        <v>250</v>
      </c>
    </row>
    <row r="30" spans="1:9" ht="15" customHeight="1" x14ac:dyDescent="0.25">
      <c r="A30" s="131"/>
      <c r="B30" s="31" t="s">
        <v>47</v>
      </c>
      <c r="C30" s="64">
        <f>IF(I6="Yes", D22*6,0)</f>
        <v>0</v>
      </c>
      <c r="D30" s="46" t="s">
        <v>88</v>
      </c>
      <c r="E30" s="67">
        <v>599</v>
      </c>
    </row>
    <row r="31" spans="1:9" ht="15" customHeight="1" x14ac:dyDescent="0.25">
      <c r="A31" s="131"/>
      <c r="B31" s="31" t="s">
        <v>35</v>
      </c>
      <c r="C31" s="65">
        <f>_xlfn.DAYS(EOMONTH($D$8,0),$D$8)*$D$21+$D$21</f>
        <v>0</v>
      </c>
      <c r="E31" s="48"/>
      <c r="I31" s="5"/>
    </row>
    <row r="32" spans="1:9" ht="15" customHeight="1" thickBot="1" x14ac:dyDescent="0.3">
      <c r="A32" s="131"/>
      <c r="B32" s="34"/>
      <c r="C32" s="35"/>
      <c r="D32" s="49"/>
      <c r="E32" s="50"/>
      <c r="I32" s="16"/>
    </row>
    <row r="33" spans="1:9" ht="15" customHeight="1" thickBot="1" x14ac:dyDescent="0.3">
      <c r="A33" s="131"/>
      <c r="B33" s="148" t="s">
        <v>36</v>
      </c>
      <c r="C33" s="149"/>
      <c r="D33" s="149"/>
      <c r="E33" s="150"/>
      <c r="I33" s="5"/>
    </row>
    <row r="34" spans="1:9" ht="15" customHeight="1" x14ac:dyDescent="0.25">
      <c r="A34" s="131"/>
      <c r="B34" s="39"/>
      <c r="C34" s="51" t="s">
        <v>37</v>
      </c>
      <c r="D34" s="61">
        <f>(D22*6)+C28+C29+C31+E28+E29+E30</f>
        <v>2594</v>
      </c>
      <c r="E34" s="41"/>
      <c r="I34" s="1"/>
    </row>
    <row r="35" spans="1:9" ht="15" customHeight="1" thickBot="1" x14ac:dyDescent="0.3">
      <c r="A35" s="131"/>
      <c r="B35" s="39"/>
      <c r="C35" s="51" t="s">
        <v>38</v>
      </c>
      <c r="D35" s="62">
        <f>SUM(C28,C29,C30,C31,E28,E29,E30)</f>
        <v>2594</v>
      </c>
      <c r="E35" s="41"/>
      <c r="H35" s="1"/>
      <c r="I35" s="1"/>
    </row>
    <row r="36" spans="1:9" ht="15" customHeight="1" x14ac:dyDescent="0.25">
      <c r="A36" s="131"/>
      <c r="B36" s="121" t="s">
        <v>60</v>
      </c>
      <c r="C36" s="122"/>
      <c r="D36" s="122"/>
      <c r="E36" s="123"/>
      <c r="I36" s="5"/>
    </row>
    <row r="37" spans="1:9" ht="15" customHeight="1" x14ac:dyDescent="0.25">
      <c r="A37" s="131"/>
      <c r="B37" s="124"/>
      <c r="C37" s="125"/>
      <c r="D37" s="125"/>
      <c r="E37" s="126"/>
    </row>
    <row r="38" spans="1:9" ht="15" customHeight="1" thickBot="1" x14ac:dyDescent="0.3">
      <c r="A38" s="131"/>
      <c r="B38" s="127"/>
      <c r="C38" s="128"/>
      <c r="D38" s="128"/>
      <c r="E38" s="129"/>
    </row>
    <row r="39" spans="1:9" ht="15" customHeight="1" x14ac:dyDescent="0.25">
      <c r="A39" s="131"/>
      <c r="B39" s="158"/>
      <c r="C39" s="158"/>
      <c r="D39" s="158"/>
      <c r="E39" s="158"/>
    </row>
    <row r="40" spans="1:9" ht="15" customHeight="1" x14ac:dyDescent="0.25">
      <c r="A40" s="131"/>
      <c r="B40" s="47" t="s">
        <v>39</v>
      </c>
    </row>
    <row r="41" spans="1:9" ht="15" customHeight="1" x14ac:dyDescent="0.25">
      <c r="A41" s="131"/>
      <c r="D41" s="54" t="s">
        <v>40</v>
      </c>
      <c r="E41" s="47" t="s">
        <v>41</v>
      </c>
    </row>
    <row r="42" spans="1:9" ht="15" customHeight="1" x14ac:dyDescent="0.25">
      <c r="A42" s="131"/>
      <c r="D42" s="54"/>
    </row>
    <row r="43" spans="1:9" ht="15" customHeight="1" x14ac:dyDescent="0.25">
      <c r="A43" s="131"/>
      <c r="D43" s="54"/>
    </row>
    <row r="44" spans="1:9" ht="15" customHeight="1" x14ac:dyDescent="0.25">
      <c r="A44" s="131"/>
    </row>
    <row r="45" spans="1:9" ht="15" customHeight="1" x14ac:dyDescent="0.25">
      <c r="A45" s="131"/>
    </row>
    <row r="46" spans="1:9" ht="15" customHeight="1" x14ac:dyDescent="0.25">
      <c r="A46" s="131"/>
    </row>
  </sheetData>
  <sheetProtection algorithmName="SHA-512" hashValue="yPgrzPhVNtdHpPVKilNDKuFaO1qx/ROUEnXM291S2h1ys3r/QfErg3/SQ4sQfnpOQbbOMGhqk5zZFu5VOXGazg==" saltValue="GdviP7j5frc9U64tThZN1A==" spinCount="100000" sheet="1" objects="1" scenarios="1" selectLockedCells="1"/>
  <protectedRanges>
    <protectedRange sqref="D13" name="Range1_13"/>
    <protectedRange sqref="C4" name="Range1_10_1"/>
    <protectedRange sqref="E4" name="Range1_14_1"/>
    <protectedRange sqref="C5" name="Range1_1_1"/>
    <protectedRange sqref="C6:C7" name="Range1_2_1"/>
    <protectedRange sqref="D8" name="Range1_5_1"/>
    <protectedRange sqref="C10:C12" name="Range1_8_1"/>
    <protectedRange sqref="E10:E12" name="Range1_12_1"/>
    <protectedRange sqref="C9" name="Range1_7_1"/>
    <protectedRange sqref="E8" name="Range1_4"/>
  </protectedRanges>
  <mergeCells count="12">
    <mergeCell ref="B36:E38"/>
    <mergeCell ref="B39:E39"/>
    <mergeCell ref="A1:A46"/>
    <mergeCell ref="B1:E1"/>
    <mergeCell ref="C2:D3"/>
    <mergeCell ref="C6:E6"/>
    <mergeCell ref="C7:E7"/>
    <mergeCell ref="C9:E9"/>
    <mergeCell ref="B17:E17"/>
    <mergeCell ref="D25:E25"/>
    <mergeCell ref="B27:E27"/>
    <mergeCell ref="B33:E33"/>
  </mergeCell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E9BE408-779E-43E3-A40B-BE47CF4C07EF}">
          <x14:formula1>
            <xm:f>'Data Drop downs'!$D$1:$D$5</xm:f>
          </x14:formula1>
          <xm:sqref>I5</xm:sqref>
        </x14:dataValidation>
        <x14:dataValidation type="list" allowBlank="1" showInputMessage="1" showErrorMessage="1" xr:uid="{DE8ADA61-EFB3-4D75-A825-4DFBA4192AFD}">
          <x14:formula1>
            <xm:f>'Data Drop downs'!$C$1:$C$5</xm:f>
          </x14:formula1>
          <xm:sqref>I7:I8</xm:sqref>
        </x14:dataValidation>
        <x14:dataValidation type="list" allowBlank="1" showInputMessage="1" showErrorMessage="1" xr:uid="{225312BE-22CA-4732-B31E-AEC6B67E178B}">
          <x14:formula1>
            <xm:f>'Data Drop downs'!$A$2:$A$26</xm:f>
          </x14:formula1>
          <xm:sqref>I4</xm:sqref>
        </x14:dataValidation>
        <x14:dataValidation type="list" allowBlank="1" showInputMessage="1" showErrorMessage="1" xr:uid="{F2FE237E-89A2-4892-95E6-99E7C25A57D9}">
          <x14:formula1>
            <xm:f>'Data Drop downs'!$B$1:$B$2</xm:f>
          </x14:formula1>
          <xm:sqref>I6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9A94F-E112-4844-A590-FD2F39C75410}">
  <sheetPr>
    <tabColor theme="8" tint="-0.499984740745262"/>
    <pageSetUpPr fitToPage="1"/>
  </sheetPr>
  <dimension ref="A1:I47"/>
  <sheetViews>
    <sheetView tabSelected="1" zoomScaleNormal="100" workbookViewId="0">
      <selection activeCell="I4" sqref="I4:I6"/>
    </sheetView>
  </sheetViews>
  <sheetFormatPr defaultRowHeight="15" customHeight="1" x14ac:dyDescent="0.25"/>
  <cols>
    <col min="1" max="1" width="3.42578125" customWidth="1"/>
    <col min="2" max="2" width="19.42578125" style="47" customWidth="1"/>
    <col min="3" max="3" width="28.42578125" style="47" customWidth="1"/>
    <col min="4" max="4" width="18.140625" style="47" customWidth="1"/>
    <col min="5" max="5" width="24.140625" style="47" customWidth="1"/>
    <col min="8" max="8" width="24.42578125" customWidth="1"/>
    <col min="9" max="9" width="26.140625" customWidth="1"/>
    <col min="12" max="12" width="25.85546875" customWidth="1"/>
    <col min="13" max="13" width="12.5703125" bestFit="1" customWidth="1"/>
  </cols>
  <sheetData>
    <row r="1" spans="1:9" ht="32.25" customHeight="1" thickBot="1" x14ac:dyDescent="0.45">
      <c r="A1" s="131"/>
      <c r="B1" s="159" t="s">
        <v>0</v>
      </c>
      <c r="C1" s="159"/>
      <c r="D1" s="159"/>
      <c r="E1" s="159"/>
    </row>
    <row r="2" spans="1:9" ht="15" customHeight="1" x14ac:dyDescent="0.25">
      <c r="A2" s="131"/>
      <c r="B2" s="26"/>
      <c r="C2" s="160" t="s">
        <v>85</v>
      </c>
      <c r="D2" s="160"/>
      <c r="E2" s="27" t="s">
        <v>1</v>
      </c>
    </row>
    <row r="3" spans="1:9" ht="15" customHeight="1" thickBot="1" x14ac:dyDescent="0.3">
      <c r="A3" s="131"/>
      <c r="B3" s="28"/>
      <c r="C3" s="161"/>
      <c r="D3" s="161"/>
      <c r="E3" s="74"/>
    </row>
    <row r="4" spans="1:9" ht="15" customHeight="1" x14ac:dyDescent="0.25">
      <c r="A4" s="131"/>
      <c r="B4" s="29" t="s">
        <v>2</v>
      </c>
      <c r="C4" s="69"/>
      <c r="D4" s="30" t="s">
        <v>3</v>
      </c>
      <c r="E4" s="71"/>
      <c r="H4" s="11" t="s">
        <v>44</v>
      </c>
      <c r="I4" s="57">
        <v>0.02</v>
      </c>
    </row>
    <row r="5" spans="1:9" ht="15" customHeight="1" x14ac:dyDescent="0.25">
      <c r="A5" s="131"/>
      <c r="B5" s="31" t="s">
        <v>4</v>
      </c>
      <c r="C5" s="70"/>
      <c r="D5" s="33" t="s">
        <v>5</v>
      </c>
      <c r="E5" s="72"/>
      <c r="H5" s="11" t="s">
        <v>45</v>
      </c>
      <c r="I5" s="58">
        <v>0.7</v>
      </c>
    </row>
    <row r="6" spans="1:9" ht="15" customHeight="1" x14ac:dyDescent="0.25">
      <c r="A6" s="131"/>
      <c r="B6" s="31" t="s">
        <v>6</v>
      </c>
      <c r="C6" s="151"/>
      <c r="D6" s="152"/>
      <c r="E6" s="153"/>
      <c r="H6" s="59" t="s">
        <v>48</v>
      </c>
      <c r="I6" s="60" t="s">
        <v>43</v>
      </c>
    </row>
    <row r="7" spans="1:9" ht="15" customHeight="1" x14ac:dyDescent="0.25">
      <c r="A7" s="131"/>
      <c r="B7" s="31" t="s">
        <v>7</v>
      </c>
      <c r="C7" s="154"/>
      <c r="D7" s="154"/>
      <c r="E7" s="155"/>
      <c r="H7" s="47"/>
      <c r="I7" s="55"/>
    </row>
    <row r="8" spans="1:9" ht="15" customHeight="1" thickBot="1" x14ac:dyDescent="0.3">
      <c r="A8" s="131"/>
      <c r="B8" s="34"/>
      <c r="C8" s="35" t="s">
        <v>8</v>
      </c>
      <c r="D8" s="73"/>
      <c r="E8" s="36" t="str">
        <f>IF(_xlfn.DAYS(D8,E3)&lt;=7,"","")</f>
        <v/>
      </c>
      <c r="H8" s="47"/>
      <c r="I8" s="55"/>
    </row>
    <row r="9" spans="1:9" ht="15" customHeight="1" x14ac:dyDescent="0.25">
      <c r="A9" s="131"/>
      <c r="B9" s="29" t="s">
        <v>9</v>
      </c>
      <c r="C9" s="140"/>
      <c r="D9" s="141"/>
      <c r="E9" s="142"/>
    </row>
    <row r="10" spans="1:9" ht="15" customHeight="1" x14ac:dyDescent="0.25">
      <c r="A10" s="131"/>
      <c r="B10" s="37" t="s">
        <v>10</v>
      </c>
      <c r="C10" s="75"/>
      <c r="D10" s="38" t="s">
        <v>11</v>
      </c>
      <c r="E10" s="76"/>
      <c r="I10" s="5"/>
    </row>
    <row r="11" spans="1:9" ht="15" customHeight="1" x14ac:dyDescent="0.25">
      <c r="A11" s="131"/>
      <c r="B11" s="37" t="s">
        <v>12</v>
      </c>
      <c r="C11" s="75"/>
      <c r="D11" s="38" t="s">
        <v>13</v>
      </c>
      <c r="E11" s="76"/>
      <c r="I11" s="5"/>
    </row>
    <row r="12" spans="1:9" ht="15" customHeight="1" x14ac:dyDescent="0.25">
      <c r="A12" s="131"/>
      <c r="B12" s="37" t="s">
        <v>14</v>
      </c>
      <c r="C12" s="75"/>
      <c r="D12" s="38" t="s">
        <v>15</v>
      </c>
      <c r="E12" s="76"/>
      <c r="I12" s="5"/>
    </row>
    <row r="13" spans="1:9" ht="15" customHeight="1" x14ac:dyDescent="0.25">
      <c r="A13" s="131"/>
      <c r="B13" s="39"/>
      <c r="C13" s="33" t="str">
        <f>IF('Data Entry - PP.Rehab.ARV'!$J$3="Refinance", "As-Is Value", "Purchase Price")</f>
        <v>Purchase Price</v>
      </c>
      <c r="D13" s="40">
        <f>'Data Entry - PP.Rehab.ARV'!H2</f>
        <v>0</v>
      </c>
      <c r="E13" s="41"/>
      <c r="I13" s="5"/>
    </row>
    <row r="14" spans="1:9" ht="15" customHeight="1" x14ac:dyDescent="0.25">
      <c r="A14" s="131"/>
      <c r="B14" s="39"/>
      <c r="C14" s="33" t="str">
        <f>IF('Data Entry - PP.Rehab.ARV'!$J$3="Refinance", "Current Balance", "")</f>
        <v/>
      </c>
      <c r="D14" s="79" t="str">
        <f>IF('Data Entry - PP.Rehab.ARV'!$J$3="Refinance", 'Data Entry - PP.Rehab.ARV'!$J$4, "")</f>
        <v/>
      </c>
      <c r="E14" s="41"/>
      <c r="I14" s="5"/>
    </row>
    <row r="15" spans="1:9" ht="15" customHeight="1" x14ac:dyDescent="0.25">
      <c r="A15" s="131"/>
      <c r="B15" s="39"/>
      <c r="C15" s="33"/>
      <c r="D15" s="18"/>
      <c r="E15" s="41"/>
      <c r="I15" s="5"/>
    </row>
    <row r="16" spans="1:9" ht="15" customHeight="1" thickBot="1" x14ac:dyDescent="0.3">
      <c r="A16" s="131"/>
      <c r="B16" s="39"/>
      <c r="C16" s="42" t="s">
        <v>19</v>
      </c>
      <c r="D16" s="17">
        <f>D13*I5</f>
        <v>0</v>
      </c>
      <c r="E16" s="43"/>
    </row>
    <row r="17" spans="1:9" ht="15" customHeight="1" thickBot="1" x14ac:dyDescent="0.3">
      <c r="A17" s="131"/>
      <c r="B17" s="143" t="s">
        <v>21</v>
      </c>
      <c r="C17" s="144"/>
      <c r="D17" s="144"/>
      <c r="E17" s="145"/>
      <c r="I17" s="1"/>
    </row>
    <row r="18" spans="1:9" ht="15" customHeight="1" x14ac:dyDescent="0.25">
      <c r="A18" s="131"/>
      <c r="B18" s="39"/>
      <c r="C18" s="33" t="s">
        <v>22</v>
      </c>
      <c r="D18" s="68" t="s">
        <v>23</v>
      </c>
      <c r="E18" s="41"/>
      <c r="I18" s="1"/>
    </row>
    <row r="19" spans="1:9" ht="15" customHeight="1" x14ac:dyDescent="0.25">
      <c r="A19" s="131"/>
      <c r="B19" s="39"/>
      <c r="C19" s="33" t="s">
        <v>24</v>
      </c>
      <c r="D19" s="68" t="s">
        <v>97</v>
      </c>
      <c r="E19" s="41"/>
    </row>
    <row r="20" spans="1:9" ht="15" customHeight="1" x14ac:dyDescent="0.25">
      <c r="A20" s="131"/>
      <c r="B20" s="39"/>
      <c r="C20" s="33" t="s">
        <v>25</v>
      </c>
      <c r="D20" s="68" t="s">
        <v>26</v>
      </c>
      <c r="E20" s="41"/>
      <c r="H20" s="6"/>
      <c r="I20" s="6"/>
    </row>
    <row r="21" spans="1:9" ht="15" customHeight="1" x14ac:dyDescent="0.25">
      <c r="A21" s="131"/>
      <c r="B21" s="39"/>
      <c r="C21" s="33" t="s">
        <v>86</v>
      </c>
      <c r="D21" s="44">
        <f>(D16*0.12)/360</f>
        <v>0</v>
      </c>
      <c r="E21" s="41"/>
      <c r="I21" s="5"/>
    </row>
    <row r="22" spans="1:9" ht="15" customHeight="1" x14ac:dyDescent="0.25">
      <c r="A22" s="131"/>
      <c r="B22" s="39"/>
      <c r="C22" s="33" t="s">
        <v>27</v>
      </c>
      <c r="D22" s="44">
        <f>(D16*0.12)/12</f>
        <v>0</v>
      </c>
      <c r="E22" s="41"/>
      <c r="I22" s="5"/>
    </row>
    <row r="23" spans="1:9" ht="15" customHeight="1" x14ac:dyDescent="0.25">
      <c r="A23" s="131"/>
      <c r="B23" s="39"/>
      <c r="C23" s="33" t="s">
        <v>28</v>
      </c>
      <c r="D23" s="68" t="s">
        <v>29</v>
      </c>
      <c r="E23" s="41"/>
    </row>
    <row r="24" spans="1:9" ht="15" customHeight="1" x14ac:dyDescent="0.25">
      <c r="A24" s="131"/>
      <c r="B24" s="39"/>
      <c r="C24" s="33" t="s">
        <v>30</v>
      </c>
      <c r="D24" s="68" t="s">
        <v>31</v>
      </c>
      <c r="E24" s="41"/>
    </row>
    <row r="25" spans="1:9" ht="15" customHeight="1" x14ac:dyDescent="0.25">
      <c r="A25" s="131"/>
      <c r="B25" s="39"/>
      <c r="C25" s="33" t="s">
        <v>32</v>
      </c>
      <c r="D25" s="146" t="s">
        <v>42</v>
      </c>
      <c r="E25" s="147"/>
    </row>
    <row r="26" spans="1:9" ht="15" customHeight="1" thickBot="1" x14ac:dyDescent="0.3">
      <c r="A26" s="131"/>
      <c r="B26" s="39"/>
      <c r="C26" s="32"/>
      <c r="D26" s="32"/>
      <c r="E26" s="41"/>
    </row>
    <row r="27" spans="1:9" ht="15" customHeight="1" thickBot="1" x14ac:dyDescent="0.3">
      <c r="A27" s="131"/>
      <c r="B27" s="143" t="s">
        <v>70</v>
      </c>
      <c r="C27" s="144"/>
      <c r="D27" s="144"/>
      <c r="E27" s="145"/>
    </row>
    <row r="28" spans="1:9" ht="15" customHeight="1" x14ac:dyDescent="0.25">
      <c r="A28" s="131"/>
      <c r="B28" s="29" t="s">
        <v>33</v>
      </c>
      <c r="C28" s="63">
        <f>$D$16*$I$4</f>
        <v>0</v>
      </c>
      <c r="D28" s="45" t="s">
        <v>87</v>
      </c>
      <c r="E28" s="77">
        <v>250</v>
      </c>
    </row>
    <row r="29" spans="1:9" ht="15" customHeight="1" x14ac:dyDescent="0.25">
      <c r="A29" s="131"/>
      <c r="B29" s="31" t="s">
        <v>34</v>
      </c>
      <c r="C29" s="64">
        <v>1745</v>
      </c>
      <c r="D29" s="46" t="s">
        <v>88</v>
      </c>
      <c r="E29" s="67">
        <v>599</v>
      </c>
    </row>
    <row r="30" spans="1:9" ht="15" customHeight="1" x14ac:dyDescent="0.25">
      <c r="A30" s="131"/>
      <c r="B30" s="31" t="s">
        <v>47</v>
      </c>
      <c r="C30" s="64">
        <f>IF(I6="Yes", D22*6,0)</f>
        <v>0</v>
      </c>
      <c r="D30" s="46" t="str">
        <f>IF('Data Entry - PP.Rehab.ARV'!$J$3="REFINANCE","Current Mtg Balance:","")</f>
        <v/>
      </c>
      <c r="E30" s="78" t="str">
        <f>IF('Data Entry - PP.Rehab.ARV'!$J$3="REFINANCE",'Data Entry - PP.Rehab.ARV'!$J$4,"")</f>
        <v/>
      </c>
    </row>
    <row r="31" spans="1:9" ht="15" customHeight="1" x14ac:dyDescent="0.25">
      <c r="A31" s="131"/>
      <c r="B31" s="31" t="s">
        <v>35</v>
      </c>
      <c r="C31" s="65">
        <f>_xlfn.DAYS(EOMONTH($D$8,0),$D$8)*$D$21+$D$21</f>
        <v>0</v>
      </c>
      <c r="E31" s="48"/>
      <c r="I31" s="5"/>
    </row>
    <row r="32" spans="1:9" ht="15" customHeight="1" thickBot="1" x14ac:dyDescent="0.3">
      <c r="A32" s="131"/>
      <c r="B32" s="34"/>
      <c r="C32" s="35"/>
      <c r="D32" s="49"/>
      <c r="E32" s="50"/>
      <c r="I32" s="16"/>
    </row>
    <row r="33" spans="1:9" ht="15" customHeight="1" thickBot="1" x14ac:dyDescent="0.3">
      <c r="A33" s="131"/>
      <c r="B33" s="148" t="s">
        <v>36</v>
      </c>
      <c r="C33" s="149"/>
      <c r="D33" s="149"/>
      <c r="E33" s="150"/>
      <c r="I33" s="5"/>
    </row>
    <row r="34" spans="1:9" ht="15" customHeight="1" x14ac:dyDescent="0.25">
      <c r="A34" s="131"/>
      <c r="B34" s="39"/>
      <c r="C34" s="51" t="s">
        <v>37</v>
      </c>
      <c r="D34" s="61">
        <f>(D22*6)+C28+C29+C31+E28+E29</f>
        <v>2594</v>
      </c>
      <c r="E34" s="41"/>
      <c r="I34" s="1"/>
    </row>
    <row r="35" spans="1:9" ht="15" customHeight="1" x14ac:dyDescent="0.25">
      <c r="A35" s="131"/>
      <c r="B35" s="39"/>
      <c r="C35" s="51" t="s">
        <v>105</v>
      </c>
      <c r="D35" s="62">
        <f>SUM(C28,C29,C30,C31,E28,E29,E30)</f>
        <v>2594</v>
      </c>
      <c r="E35" s="41"/>
      <c r="H35" s="1"/>
      <c r="I35" s="1"/>
    </row>
    <row r="36" spans="1:9" ht="15" customHeight="1" thickBot="1" x14ac:dyDescent="0.3">
      <c r="A36" s="131"/>
      <c r="B36" s="39"/>
      <c r="C36" s="51" t="s">
        <v>104</v>
      </c>
      <c r="D36" s="62">
        <f>D16-D35</f>
        <v>-2594</v>
      </c>
      <c r="E36" s="41"/>
      <c r="H36" s="1"/>
      <c r="I36" s="1"/>
    </row>
    <row r="37" spans="1:9" ht="15" customHeight="1" x14ac:dyDescent="0.25">
      <c r="A37" s="131"/>
      <c r="B37" s="121" t="s">
        <v>60</v>
      </c>
      <c r="C37" s="122"/>
      <c r="D37" s="122"/>
      <c r="E37" s="123"/>
      <c r="I37" s="5"/>
    </row>
    <row r="38" spans="1:9" ht="15" customHeight="1" x14ac:dyDescent="0.25">
      <c r="A38" s="131"/>
      <c r="B38" s="124"/>
      <c r="C38" s="125"/>
      <c r="D38" s="125"/>
      <c r="E38" s="126"/>
    </row>
    <row r="39" spans="1:9" ht="15" customHeight="1" thickBot="1" x14ac:dyDescent="0.3">
      <c r="A39" s="131"/>
      <c r="B39" s="127"/>
      <c r="C39" s="128"/>
      <c r="D39" s="128"/>
      <c r="E39" s="129"/>
    </row>
    <row r="40" spans="1:9" ht="15" customHeight="1" x14ac:dyDescent="0.25">
      <c r="A40" s="131"/>
      <c r="B40" s="158"/>
      <c r="C40" s="158"/>
      <c r="D40" s="158"/>
      <c r="E40" s="158"/>
    </row>
    <row r="41" spans="1:9" ht="15" customHeight="1" x14ac:dyDescent="0.25">
      <c r="A41" s="131"/>
      <c r="B41" s="47" t="s">
        <v>39</v>
      </c>
    </row>
    <row r="42" spans="1:9" ht="15" customHeight="1" x14ac:dyDescent="0.25">
      <c r="A42" s="131"/>
      <c r="D42" s="54" t="s">
        <v>40</v>
      </c>
      <c r="E42" s="47" t="s">
        <v>41</v>
      </c>
    </row>
    <row r="43" spans="1:9" ht="15" customHeight="1" x14ac:dyDescent="0.25">
      <c r="A43" s="131"/>
      <c r="D43" s="54"/>
    </row>
    <row r="44" spans="1:9" ht="15" customHeight="1" x14ac:dyDescent="0.25">
      <c r="A44" s="131"/>
      <c r="D44" s="54"/>
    </row>
    <row r="45" spans="1:9" ht="15" customHeight="1" x14ac:dyDescent="0.25">
      <c r="A45" s="131"/>
    </row>
    <row r="46" spans="1:9" ht="15" customHeight="1" x14ac:dyDescent="0.25">
      <c r="A46" s="131"/>
    </row>
    <row r="47" spans="1:9" ht="15" customHeight="1" x14ac:dyDescent="0.25">
      <c r="A47" s="131"/>
    </row>
  </sheetData>
  <sheetProtection algorithmName="SHA-512" hashValue="fREN3Myw2nbgCrst6KMoMc0lP6z9zs04O300x/Nsef/17rMmRGEvTip4qr5MI8aeQcL3E/A6mIchG9bwS3DV5w==" saltValue="NnaTwnii642q4KES97lUQA==" spinCount="100000" sheet="1" objects="1" scenarios="1" selectLockedCells="1"/>
  <protectedRanges>
    <protectedRange sqref="D13" name="Range1_13"/>
    <protectedRange sqref="C4" name="Range1_10_1"/>
    <protectedRange sqref="E4" name="Range1_14_1"/>
    <protectedRange sqref="C5" name="Range1_1_1"/>
    <protectedRange sqref="C6:C7" name="Range1_2_1"/>
    <protectedRange sqref="D8" name="Range1_5_1"/>
    <protectedRange sqref="C10:C12" name="Range1_8_1"/>
    <protectedRange sqref="E10:E12" name="Range1_12_1"/>
    <protectedRange sqref="C9" name="Range1_7_1"/>
    <protectedRange sqref="E8" name="Range1_4"/>
  </protectedRanges>
  <mergeCells count="12">
    <mergeCell ref="B37:E39"/>
    <mergeCell ref="B40:E40"/>
    <mergeCell ref="A1:A47"/>
    <mergeCell ref="B1:E1"/>
    <mergeCell ref="C2:D3"/>
    <mergeCell ref="C6:E6"/>
    <mergeCell ref="C7:E7"/>
    <mergeCell ref="C9:E9"/>
    <mergeCell ref="B17:E17"/>
    <mergeCell ref="D25:E25"/>
    <mergeCell ref="B27:E27"/>
    <mergeCell ref="B33:E33"/>
  </mergeCell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615A668-4B70-44CF-92BB-A35157F1D475}">
          <x14:formula1>
            <xm:f>'Data Drop downs'!$B$1:$B$2</xm:f>
          </x14:formula1>
          <xm:sqref>I6</xm:sqref>
        </x14:dataValidation>
        <x14:dataValidation type="list" allowBlank="1" showInputMessage="1" showErrorMessage="1" xr:uid="{0FBCF59D-69A3-46DA-A710-72E053882FF0}">
          <x14:formula1>
            <xm:f>'Data Drop downs'!$A$2:$A$26</xm:f>
          </x14:formula1>
          <xm:sqref>I4</xm:sqref>
        </x14:dataValidation>
        <x14:dataValidation type="list" allowBlank="1" showInputMessage="1" showErrorMessage="1" xr:uid="{07687C15-84D2-4001-86FC-F3E262FC4562}">
          <x14:formula1>
            <xm:f>'Data Drop downs'!$C$1:$C$5</xm:f>
          </x14:formula1>
          <xm:sqref>I7:I8</xm:sqref>
        </x14:dataValidation>
        <x14:dataValidation type="list" allowBlank="1" showInputMessage="1" showErrorMessage="1" xr:uid="{A81469B6-33A0-4CC2-BCC6-D85C86120693}">
          <x14:formula1>
            <xm:f>'Data Drop downs'!$D$1:$D$5</xm:f>
          </x14:formula1>
          <xm:sqref>I5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F44FE-E188-472A-A0EC-0B9B1CA89385}">
  <dimension ref="A1:G26"/>
  <sheetViews>
    <sheetView workbookViewId="0">
      <selection activeCell="G4" sqref="G4"/>
    </sheetView>
  </sheetViews>
  <sheetFormatPr defaultRowHeight="15" x14ac:dyDescent="0.25"/>
  <cols>
    <col min="7" max="7" width="19.140625" customWidth="1"/>
  </cols>
  <sheetData>
    <row r="1" spans="1:7" x14ac:dyDescent="0.25">
      <c r="A1">
        <v>0.01</v>
      </c>
      <c r="B1" t="s">
        <v>49</v>
      </c>
      <c r="C1">
        <v>0</v>
      </c>
      <c r="D1">
        <v>0.5</v>
      </c>
      <c r="E1">
        <v>2</v>
      </c>
      <c r="F1">
        <v>0.12</v>
      </c>
      <c r="G1" t="s">
        <v>98</v>
      </c>
    </row>
    <row r="2" spans="1:7" x14ac:dyDescent="0.25">
      <c r="A2">
        <v>0.02</v>
      </c>
      <c r="B2" t="s">
        <v>43</v>
      </c>
      <c r="C2">
        <v>0.05</v>
      </c>
      <c r="D2">
        <v>0.55000000000000004</v>
      </c>
      <c r="E2">
        <v>3</v>
      </c>
      <c r="F2">
        <v>0.13</v>
      </c>
      <c r="G2" t="s">
        <v>99</v>
      </c>
    </row>
    <row r="3" spans="1:7" x14ac:dyDescent="0.25">
      <c r="A3">
        <v>2.2499999999999999E-2</v>
      </c>
      <c r="C3">
        <v>0.1</v>
      </c>
      <c r="D3">
        <v>0.6</v>
      </c>
      <c r="F3">
        <v>0.14000000000000001</v>
      </c>
      <c r="G3" t="s">
        <v>100</v>
      </c>
    </row>
    <row r="4" spans="1:7" x14ac:dyDescent="0.25">
      <c r="A4">
        <v>2.5000000000000001E-2</v>
      </c>
      <c r="C4">
        <v>0.15</v>
      </c>
      <c r="D4">
        <v>0.65</v>
      </c>
    </row>
    <row r="5" spans="1:7" x14ac:dyDescent="0.25">
      <c r="A5">
        <v>2.75E-2</v>
      </c>
      <c r="C5">
        <v>0.2</v>
      </c>
      <c r="D5">
        <v>0.7</v>
      </c>
    </row>
    <row r="6" spans="1:7" x14ac:dyDescent="0.25">
      <c r="A6">
        <v>0.03</v>
      </c>
    </row>
    <row r="7" spans="1:7" x14ac:dyDescent="0.25">
      <c r="A7">
        <v>3.2500000000000001E-2</v>
      </c>
    </row>
    <row r="8" spans="1:7" x14ac:dyDescent="0.25">
      <c r="A8">
        <v>3.5000000000000003E-2</v>
      </c>
    </row>
    <row r="9" spans="1:7" x14ac:dyDescent="0.25">
      <c r="A9">
        <v>3.7499999999999999E-2</v>
      </c>
    </row>
    <row r="10" spans="1:7" x14ac:dyDescent="0.25">
      <c r="A10">
        <v>0.04</v>
      </c>
    </row>
    <row r="11" spans="1:7" x14ac:dyDescent="0.25">
      <c r="A11">
        <v>4.2500000000000003E-2</v>
      </c>
    </row>
    <row r="12" spans="1:7" x14ac:dyDescent="0.25">
      <c r="A12">
        <v>4.4999999999999998E-2</v>
      </c>
    </row>
    <row r="13" spans="1:7" x14ac:dyDescent="0.25">
      <c r="A13">
        <v>4.7500000000000001E-2</v>
      </c>
    </row>
    <row r="14" spans="1:7" x14ac:dyDescent="0.25">
      <c r="A14">
        <v>0.05</v>
      </c>
    </row>
    <row r="15" spans="1:7" x14ac:dyDescent="0.25">
      <c r="A15">
        <v>5.2499999999999998E-2</v>
      </c>
    </row>
    <row r="16" spans="1:7" x14ac:dyDescent="0.25">
      <c r="A16">
        <v>5.5E-2</v>
      </c>
    </row>
    <row r="17" spans="1:1" x14ac:dyDescent="0.25">
      <c r="A17">
        <v>5.7500000000000002E-2</v>
      </c>
    </row>
    <row r="18" spans="1:1" x14ac:dyDescent="0.25">
      <c r="A18">
        <v>0.06</v>
      </c>
    </row>
    <row r="19" spans="1:1" x14ac:dyDescent="0.25">
      <c r="A19">
        <v>6.25E-2</v>
      </c>
    </row>
    <row r="20" spans="1:1" x14ac:dyDescent="0.25">
      <c r="A20">
        <v>6.5000000000000002E-2</v>
      </c>
    </row>
    <row r="21" spans="1:1" x14ac:dyDescent="0.25">
      <c r="A21">
        <v>6.7500000000000004E-2</v>
      </c>
    </row>
    <row r="22" spans="1:1" x14ac:dyDescent="0.25">
      <c r="A22">
        <v>7.0000000000000007E-2</v>
      </c>
    </row>
    <row r="23" spans="1:1" x14ac:dyDescent="0.25">
      <c r="A23">
        <v>7.2499999999999995E-2</v>
      </c>
    </row>
    <row r="24" spans="1:1" x14ac:dyDescent="0.25">
      <c r="A24">
        <v>7.4999999999999997E-2</v>
      </c>
    </row>
    <row r="25" spans="1:1" x14ac:dyDescent="0.25">
      <c r="A25">
        <v>7.7499999999999999E-2</v>
      </c>
    </row>
    <row r="26" spans="1:1" x14ac:dyDescent="0.25">
      <c r="A26">
        <v>0.08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aaefc051-7664-47d2-94cc-915eeb8c7593">
      <UserInfo>
        <DisplayName>Miles Greenberg</DisplayName>
        <AccountId>31</AccountId>
        <AccountType/>
      </UserInfo>
      <UserInfo>
        <DisplayName>Tim Herriage</DisplayName>
        <AccountId>9</AccountId>
        <AccountType/>
      </UserInfo>
    </SharedWithUsers>
    <lcf76f155ced4ddcb4097134ff3c332f xmlns="8ea55790-4368-407d-b81b-100cac05106d">
      <Terms xmlns="http://schemas.microsoft.com/office/infopath/2007/PartnerControls"/>
    </lcf76f155ced4ddcb4097134ff3c332f>
    <TaxCatchAll xmlns="aaefc051-7664-47d2-94cc-915eeb8c7593" xsi:nil="true"/>
    <Appraisal xmlns="8ea55790-4368-407d-b81b-100cac05106d"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1DA29C1009DED04EBD0E433F6FE4DA41" ma:contentTypeVersion="16" ma:contentTypeDescription="Create a new document." ma:contentTypeScope="" ma:versionID="3e4d90d7c5ee0a2c01d2468df8bb0238">
  <xsd:schema xmlns:xsd="http://www.w3.org/2001/XMLSchema" xmlns:xs="http://www.w3.org/2001/XMLSchema" xmlns:p="http://schemas.microsoft.com/office/2006/metadata/properties" xmlns:ns2="8ea55790-4368-407d-b81b-100cac05106d" xmlns:ns3="aaefc051-7664-47d2-94cc-915eeb8c7593" targetNamespace="http://schemas.microsoft.com/office/2006/metadata/properties" ma:root="true" ma:fieldsID="c36e1276e5d72d9a7eeed0265ac6f333" ns2:_="" ns3:_="">
    <xsd:import namespace="8ea55790-4368-407d-b81b-100cac05106d"/>
    <xsd:import namespace="aaefc051-7664-47d2-94cc-915eeb8c759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Location" minOccurs="0"/>
                <xsd:element ref="ns2:MediaServiceOCR" minOccurs="0"/>
                <xsd:element ref="ns2:Appraisa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a55790-4368-407d-b81b-100cac05106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72f31e4c-3b87-4e3f-a927-94f46038036e" ma:termSetId="09814cd3-568e-fe90-9814-8d621ff8fb84" ma:anchorId="fba54fb3-c3e1-fe81-a776-ca4b69148c4d" ma:open="true" ma:isKeyword="false">
      <xsd:complexType>
        <xsd:sequence>
          <xsd:element ref="pc:Terms" minOccurs="0" maxOccurs="1"/>
        </xsd:sequence>
      </xsd:complexType>
    </xsd:element>
    <xsd:element name="MediaServiceLocation" ma:index="21" nillable="true" ma:displayName="Location" ma:indexed="true" ma:internalName="MediaServiceLocation"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Appraisal" ma:index="23" nillable="true" ma:displayName="Appraisal" ma:format="Dropdown" ma:internalName="Appraisa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efc051-7664-47d2-94cc-915eeb8c7593"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7dacf4e2-dd1b-4950-bf66-87cea30d5e18}" ma:internalName="TaxCatchAll" ma:showField="CatchAllData" ma:web="aaefc051-7664-47d2-94cc-915eeb8c75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4A1F08-6AFC-4343-B5D8-D01FBD77D003}">
  <ds:schemaRefs>
    <ds:schemaRef ds:uri="http://schemas.microsoft.com/office/2006/metadata/properties"/>
    <ds:schemaRef ds:uri="http://schemas.microsoft.com/office/infopath/2007/PartnerControls"/>
    <ds:schemaRef ds:uri="aaefc051-7664-47d2-94cc-915eeb8c7593"/>
    <ds:schemaRef ds:uri="8ea55790-4368-407d-b81b-100cac05106d"/>
  </ds:schemaRefs>
</ds:datastoreItem>
</file>

<file path=customXml/itemProps2.xml><?xml version="1.0" encoding="utf-8"?>
<ds:datastoreItem xmlns:ds="http://schemas.openxmlformats.org/officeDocument/2006/customXml" ds:itemID="{55E25C65-7D4F-43D0-988D-6B77CAC650E3}">
  <ds:schemaRefs>
    <ds:schemaRef ds:uri="http://schemas.microsoft.com/DataMashup"/>
  </ds:schemaRefs>
</ds:datastoreItem>
</file>

<file path=customXml/itemProps3.xml><?xml version="1.0" encoding="utf-8"?>
<ds:datastoreItem xmlns:ds="http://schemas.openxmlformats.org/officeDocument/2006/customXml" ds:itemID="{E01977C7-AE93-4B38-A42F-D01819AA44E9}">
  <ds:schemaRefs>
    <ds:schemaRef ds:uri="http://schemas.microsoft.com/sharepoint/v3/contenttype/forms"/>
  </ds:schemaRefs>
</ds:datastoreItem>
</file>

<file path=customXml/itemProps4.xml><?xml version="1.0" encoding="utf-8"?>
<ds:datastoreItem xmlns:ds="http://schemas.openxmlformats.org/officeDocument/2006/customXml" ds:itemID="{84D8D267-3DA8-4CF4-9B0D-E59D31149E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a55790-4368-407d-b81b-100cac05106d"/>
    <ds:schemaRef ds:uri="aaefc051-7664-47d2-94cc-915eeb8c7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Data Entry - PP.Rehab.ARV</vt:lpstr>
      <vt:lpstr>FnF</vt:lpstr>
      <vt:lpstr>WholeTail</vt:lpstr>
      <vt:lpstr>Bridge - Purchase</vt:lpstr>
      <vt:lpstr>Bridge - Refi &amp; DP</vt:lpstr>
      <vt:lpstr>Data Drop downs</vt:lpstr>
      <vt:lpstr>'Bridge - Purchase'!Print_Area</vt:lpstr>
      <vt:lpstr>'Bridge - Refi &amp; DP'!Print_Area</vt:lpstr>
      <vt:lpstr>FnF!Print_Area</vt:lpstr>
      <vt:lpstr>WholeTail!Print_Area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Luis Somoza</dc:creator>
  <cp:keywords/>
  <dc:description/>
  <cp:lastModifiedBy>Luis Somoza</cp:lastModifiedBy>
  <cp:revision/>
  <cp:lastPrinted>2024-09-30T17:15:13Z</cp:lastPrinted>
  <dcterms:created xsi:type="dcterms:W3CDTF">2024-01-12T21:26:55Z</dcterms:created>
  <dcterms:modified xsi:type="dcterms:W3CDTF">2025-06-09T12:07:55Z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0x0101001DA29C1009DED04EBD0E433F6FE4DA41</vt:lpwstr>
  </property>
  <property fmtid="{D5CDD505-2E9C-101B-9397-08002B2CF9AE}" pid="3" name="ComplianceAssetId">
    <vt:lpwstr/>
  </property>
  <property fmtid="{D5CDD505-2E9C-101B-9397-08002B2CF9AE}" pid="4" name="_ExtendedDescription">
    <vt:lpwstr/>
  </property>
  <property fmtid="{D5CDD505-2E9C-101B-9397-08002B2CF9AE}" pid="5" name="TriggerFlowInfo">
    <vt:lpwstr/>
  </property>
  <property fmtid="{D5CDD505-2E9C-101B-9397-08002B2CF9AE}" pid="6" name="MediaServiceImageTags">
    <vt:lpwstr/>
  </property>
</Properties>
</file>